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n\Dropbox\My PC (DESKTOP-MM6VPLG)\Desktop\"/>
    </mc:Choice>
  </mc:AlternateContent>
  <xr:revisionPtr revIDLastSave="0" documentId="8_{EA87A4B0-A04C-462B-9479-4453BEE65299}" xr6:coauthVersionLast="47" xr6:coauthVersionMax="47" xr10:uidLastSave="{00000000-0000-0000-0000-000000000000}"/>
  <bookViews>
    <workbookView xWindow="1350" yWindow="1350" windowWidth="21600" windowHeight="11340" activeTab="1" xr2:uid="{00000000-000D-0000-FFFF-FFFF00000000}"/>
  </bookViews>
  <sheets>
    <sheet name="Ciudades nacional" sheetId="1" r:id="rId1"/>
    <sheet name="Ciudades nacional (2)" sheetId="5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4" i="5" l="1"/>
  <c r="C47" i="5" s="1"/>
  <c r="C60" i="5" s="1"/>
  <c r="C73" i="5" s="1"/>
  <c r="C86" i="5" s="1"/>
  <c r="C99" i="5" s="1"/>
  <c r="C112" i="5" s="1"/>
  <c r="C125" i="5" s="1"/>
  <c r="C138" i="5" s="1"/>
  <c r="C35" i="5"/>
  <c r="C48" i="5" s="1"/>
  <c r="C61" i="5" s="1"/>
  <c r="C74" i="5" s="1"/>
  <c r="C87" i="5" s="1"/>
  <c r="C100" i="5" s="1"/>
  <c r="C113" i="5" s="1"/>
  <c r="C126" i="5" s="1"/>
  <c r="C139" i="5" s="1"/>
  <c r="C36" i="5"/>
  <c r="C49" i="5" s="1"/>
  <c r="C62" i="5" s="1"/>
  <c r="C75" i="5" s="1"/>
  <c r="C88" i="5" s="1"/>
  <c r="C101" i="5" s="1"/>
  <c r="C114" i="5" s="1"/>
  <c r="C127" i="5" s="1"/>
  <c r="C140" i="5" s="1"/>
  <c r="C37" i="5"/>
  <c r="C38" i="5"/>
  <c r="C51" i="5" s="1"/>
  <c r="C64" i="5" s="1"/>
  <c r="C77" i="5" s="1"/>
  <c r="C90" i="5" s="1"/>
  <c r="C103" i="5" s="1"/>
  <c r="C116" i="5" s="1"/>
  <c r="C129" i="5" s="1"/>
  <c r="C142" i="5" s="1"/>
  <c r="C39" i="5"/>
  <c r="C52" i="5" s="1"/>
  <c r="C65" i="5" s="1"/>
  <c r="C78" i="5" s="1"/>
  <c r="C91" i="5" s="1"/>
  <c r="C104" i="5" s="1"/>
  <c r="C117" i="5" s="1"/>
  <c r="C130" i="5" s="1"/>
  <c r="C143" i="5" s="1"/>
  <c r="C40" i="5"/>
  <c r="C53" i="5" s="1"/>
  <c r="C66" i="5" s="1"/>
  <c r="C79" i="5" s="1"/>
  <c r="C92" i="5" s="1"/>
  <c r="C105" i="5" s="1"/>
  <c r="C118" i="5" s="1"/>
  <c r="C131" i="5" s="1"/>
  <c r="C144" i="5" s="1"/>
  <c r="C41" i="5"/>
  <c r="C42" i="5"/>
  <c r="C55" i="5" s="1"/>
  <c r="C68" i="5" s="1"/>
  <c r="C81" i="5" s="1"/>
  <c r="C94" i="5" s="1"/>
  <c r="C107" i="5" s="1"/>
  <c r="C120" i="5" s="1"/>
  <c r="C133" i="5" s="1"/>
  <c r="C146" i="5" s="1"/>
  <c r="C43" i="5"/>
  <c r="C44" i="5"/>
  <c r="C57" i="5" s="1"/>
  <c r="C70" i="5" s="1"/>
  <c r="C83" i="5" s="1"/>
  <c r="C96" i="5" s="1"/>
  <c r="C109" i="5" s="1"/>
  <c r="C122" i="5" s="1"/>
  <c r="C135" i="5" s="1"/>
  <c r="C148" i="5" s="1"/>
  <c r="C45" i="5"/>
  <c r="C50" i="5"/>
  <c r="C63" i="5" s="1"/>
  <c r="C76" i="5" s="1"/>
  <c r="C89" i="5" s="1"/>
  <c r="C102" i="5" s="1"/>
  <c r="C115" i="5" s="1"/>
  <c r="C128" i="5" s="1"/>
  <c r="C141" i="5" s="1"/>
  <c r="C54" i="5"/>
  <c r="C67" i="5" s="1"/>
  <c r="C80" i="5" s="1"/>
  <c r="C93" i="5" s="1"/>
  <c r="C106" i="5" s="1"/>
  <c r="C119" i="5" s="1"/>
  <c r="C132" i="5" s="1"/>
  <c r="C145" i="5" s="1"/>
  <c r="C56" i="5"/>
  <c r="C69" i="5" s="1"/>
  <c r="C82" i="5" s="1"/>
  <c r="C95" i="5" s="1"/>
  <c r="C108" i="5" s="1"/>
  <c r="C121" i="5" s="1"/>
  <c r="C134" i="5" s="1"/>
  <c r="C147" i="5" s="1"/>
  <c r="C58" i="5"/>
  <c r="C71" i="5" s="1"/>
  <c r="C84" i="5" s="1"/>
  <c r="C97" i="5" s="1"/>
  <c r="C110" i="5" s="1"/>
  <c r="C123" i="5" s="1"/>
  <c r="C136" i="5" s="1"/>
  <c r="C149" i="5" s="1"/>
  <c r="D33" i="5"/>
  <c r="D46" i="5" s="1"/>
  <c r="D59" i="5" s="1"/>
  <c r="D72" i="5" s="1"/>
  <c r="D85" i="5" s="1"/>
  <c r="D98" i="5" s="1"/>
  <c r="D111" i="5" s="1"/>
  <c r="D124" i="5" s="1"/>
  <c r="D137" i="5" s="1"/>
  <c r="D21" i="5"/>
  <c r="D34" i="5" s="1"/>
  <c r="D47" i="5" s="1"/>
  <c r="D60" i="5" s="1"/>
  <c r="D73" i="5" s="1"/>
  <c r="D86" i="5" s="1"/>
  <c r="D99" i="5" s="1"/>
  <c r="D112" i="5" s="1"/>
  <c r="D125" i="5" s="1"/>
  <c r="D138" i="5" s="1"/>
  <c r="C33" i="5"/>
  <c r="C46" i="5" s="1"/>
  <c r="C59" i="5" s="1"/>
  <c r="C72" i="5" s="1"/>
  <c r="C85" i="5" s="1"/>
  <c r="C98" i="5" s="1"/>
  <c r="C111" i="5" s="1"/>
  <c r="C124" i="5" s="1"/>
  <c r="C137" i="5" s="1"/>
  <c r="D22" i="5" l="1"/>
  <c r="D23" i="5" s="1"/>
  <c r="D24" i="5" s="1"/>
  <c r="D25" i="5" s="1"/>
  <c r="D26" i="5" s="1"/>
  <c r="D27" i="5" s="1"/>
  <c r="D28" i="5" s="1"/>
  <c r="D29" i="5" s="1"/>
  <c r="D30" i="5" s="1"/>
  <c r="D31" i="5" s="1"/>
  <c r="D32" i="5" s="1"/>
  <c r="D45" i="5" s="1"/>
  <c r="D58" i="5" s="1"/>
  <c r="D71" i="5" s="1"/>
  <c r="D84" i="5" s="1"/>
  <c r="D97" i="5" s="1"/>
  <c r="D110" i="5" s="1"/>
  <c r="D123" i="5" s="1"/>
  <c r="D136" i="5" s="1"/>
  <c r="D149" i="5" s="1"/>
  <c r="D37" i="5"/>
  <c r="D50" i="5" s="1"/>
  <c r="D63" i="5" s="1"/>
  <c r="D76" i="5" s="1"/>
  <c r="D89" i="5" s="1"/>
  <c r="D102" i="5" s="1"/>
  <c r="D115" i="5" s="1"/>
  <c r="D128" i="5" s="1"/>
  <c r="D141" i="5" s="1"/>
  <c r="D41" i="5"/>
  <c r="D54" i="5" s="1"/>
  <c r="D67" i="5" s="1"/>
  <c r="D80" i="5" s="1"/>
  <c r="D93" i="5" s="1"/>
  <c r="D106" i="5" s="1"/>
  <c r="D119" i="5" s="1"/>
  <c r="D132" i="5" s="1"/>
  <c r="D145" i="5" s="1"/>
  <c r="D44" i="5"/>
  <c r="D57" i="5" s="1"/>
  <c r="D70" i="5" s="1"/>
  <c r="D83" i="5" s="1"/>
  <c r="D96" i="5" s="1"/>
  <c r="D109" i="5" s="1"/>
  <c r="D122" i="5" s="1"/>
  <c r="D135" i="5" s="1"/>
  <c r="D148" i="5" s="1"/>
  <c r="D40" i="5"/>
  <c r="D53" i="5" s="1"/>
  <c r="D66" i="5" s="1"/>
  <c r="D79" i="5" s="1"/>
  <c r="D92" i="5" s="1"/>
  <c r="D105" i="5" s="1"/>
  <c r="D118" i="5" s="1"/>
  <c r="D131" i="5" s="1"/>
  <c r="D144" i="5" s="1"/>
  <c r="D36" i="5"/>
  <c r="D49" i="5" s="1"/>
  <c r="D62" i="5" s="1"/>
  <c r="D75" i="5" s="1"/>
  <c r="D88" i="5" s="1"/>
  <c r="D101" i="5" s="1"/>
  <c r="D114" i="5" s="1"/>
  <c r="D127" i="5" s="1"/>
  <c r="D140" i="5" s="1"/>
  <c r="D43" i="5"/>
  <c r="D56" i="5" s="1"/>
  <c r="D69" i="5" s="1"/>
  <c r="D82" i="5" s="1"/>
  <c r="D95" i="5" s="1"/>
  <c r="D108" i="5" s="1"/>
  <c r="D121" i="5" s="1"/>
  <c r="D134" i="5" s="1"/>
  <c r="D147" i="5" s="1"/>
  <c r="D35" i="5"/>
  <c r="D48" i="5" s="1"/>
  <c r="D61" i="5" s="1"/>
  <c r="D74" i="5" s="1"/>
  <c r="D87" i="5" s="1"/>
  <c r="D100" i="5" s="1"/>
  <c r="D113" i="5" s="1"/>
  <c r="D126" i="5" s="1"/>
  <c r="D139" i="5" s="1"/>
  <c r="D39" i="5"/>
  <c r="D52" i="5" s="1"/>
  <c r="D65" i="5" s="1"/>
  <c r="D78" i="5" s="1"/>
  <c r="D91" i="5" s="1"/>
  <c r="D104" i="5" s="1"/>
  <c r="D117" i="5" s="1"/>
  <c r="D130" i="5" s="1"/>
  <c r="D143" i="5" s="1"/>
  <c r="D42" i="5"/>
  <c r="D55" i="5" s="1"/>
  <c r="D68" i="5" s="1"/>
  <c r="D81" i="5" s="1"/>
  <c r="D94" i="5" s="1"/>
  <c r="D107" i="5" s="1"/>
  <c r="D120" i="5" s="1"/>
  <c r="D133" i="5" s="1"/>
  <c r="D146" i="5" s="1"/>
  <c r="D38" i="5"/>
  <c r="D51" i="5" s="1"/>
  <c r="D64" i="5" s="1"/>
  <c r="D77" i="5" s="1"/>
  <c r="D90" i="5" s="1"/>
  <c r="D103" i="5" s="1"/>
  <c r="D116" i="5" s="1"/>
  <c r="D129" i="5" s="1"/>
  <c r="D142" i="5" s="1"/>
</calcChain>
</file>

<file path=xl/sharedStrings.xml><?xml version="1.0" encoding="utf-8"?>
<sst xmlns="http://schemas.openxmlformats.org/spreadsheetml/2006/main" count="209" uniqueCount="66">
  <si>
    <t>SANTIAGO CON</t>
  </si>
  <si>
    <t>ARICA CON</t>
  </si>
  <si>
    <t>ANTOFAGASTA CON</t>
  </si>
  <si>
    <t>CALAMA CON</t>
  </si>
  <si>
    <t>PUERTO MONTT CON</t>
  </si>
  <si>
    <t>BALMACEDA CON</t>
  </si>
  <si>
    <t>PUNTA ARENAS CON</t>
  </si>
  <si>
    <t>TRAFICO NACIONAL</t>
  </si>
  <si>
    <t>PASAJEROS TOTALES (Llegados+Salidos)</t>
  </si>
  <si>
    <t>CIUDAD</t>
  </si>
  <si>
    <t>IQUIQUE CON</t>
  </si>
  <si>
    <t>CONCEPCION CON</t>
  </si>
  <si>
    <t>TEMUCO CON</t>
  </si>
  <si>
    <t>ANTOFAGASTA</t>
  </si>
  <si>
    <t>ARICA</t>
  </si>
  <si>
    <t>BALMACEDA</t>
  </si>
  <si>
    <t>CALAMA</t>
  </si>
  <si>
    <t>CASTRO</t>
  </si>
  <si>
    <t>CONCEPCION</t>
  </si>
  <si>
    <t>COPIAPO</t>
  </si>
  <si>
    <t>EL SALVADOR</t>
  </si>
  <si>
    <t>IQUIQUE</t>
  </si>
  <si>
    <t>ISLA DE PASCUA</t>
  </si>
  <si>
    <t>LA SERENA</t>
  </si>
  <si>
    <t>OSORNO</t>
  </si>
  <si>
    <t>PICA</t>
  </si>
  <si>
    <t>PUERTO MONTT</t>
  </si>
  <si>
    <t>PUERTO NATALES</t>
  </si>
  <si>
    <t>PUNTA ARENAS</t>
  </si>
  <si>
    <t>TEMUCO</t>
  </si>
  <si>
    <t>VALDIVIA</t>
  </si>
  <si>
    <t>ANTARTICA CHIL.</t>
  </si>
  <si>
    <t>BAHIA INUTIL</t>
  </si>
  <si>
    <t>PORVENIR</t>
  </si>
  <si>
    <t>PUERTO WILLIAMS</t>
  </si>
  <si>
    <t>COPIAPO CON</t>
  </si>
  <si>
    <t>LA SERENA CON</t>
  </si>
  <si>
    <t>SOBREVUELO</t>
  </si>
  <si>
    <t>OSORNO CON</t>
  </si>
  <si>
    <t>PUCON</t>
  </si>
  <si>
    <t>VILLARRICA</t>
  </si>
  <si>
    <t>VIÑA DEL MAR</t>
  </si>
  <si>
    <t>EL SALVADOR CON</t>
  </si>
  <si>
    <t>VALDIVIA CON</t>
  </si>
  <si>
    <t>BAHIA POSESION</t>
  </si>
  <si>
    <t>CERRO SOMBRERO</t>
  </si>
  <si>
    <t>ISLA DAWSON</t>
  </si>
  <si>
    <t>SAN SEBASTIAN</t>
  </si>
  <si>
    <t>TRAFICO ENTRE PARES DE CIUDADES</t>
  </si>
  <si>
    <t>Grand Total</t>
  </si>
  <si>
    <t>Sum of 2,010</t>
  </si>
  <si>
    <t>Data</t>
  </si>
  <si>
    <t>Sum of 2,011</t>
  </si>
  <si>
    <t>Sum of 2,012</t>
  </si>
  <si>
    <t>Sum of 2,013</t>
  </si>
  <si>
    <t>Sum of 2,014</t>
  </si>
  <si>
    <t>Sum of 2,015</t>
  </si>
  <si>
    <t>Sum of 2,016</t>
  </si>
  <si>
    <t>Sum of 2,017</t>
  </si>
  <si>
    <t>Sum of 2,018</t>
  </si>
  <si>
    <t>Sum of 2,019</t>
  </si>
  <si>
    <t>year</t>
  </si>
  <si>
    <t>country</t>
  </si>
  <si>
    <t>data</t>
  </si>
  <si>
    <t>Original Data:</t>
  </si>
  <si>
    <t>Data after transformation: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</si>
</sst>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_-;\-* #,##0_-;_-* &quot;-&quot;_-;_-@_-"/>
  </numFmts>
  <fonts count="6" x14ac:knownFonts="1"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9C6500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164" fontId="2" fillId="0" borderId="0" applyFont="0" applyFill="0" applyBorder="0" applyAlignment="0" applyProtection="0"/>
    <xf numFmtId="0" fontId="3" fillId="2" borderId="0" applyNumberFormat="0" applyBorder="0" applyAlignment="0" applyProtection="0"/>
    <xf numFmtId="0" fontId="1" fillId="0" borderId="0"/>
    <xf numFmtId="0" fontId="4" fillId="0" borderId="0"/>
    <xf numFmtId="0" fontId="5" fillId="0" borderId="1" applyNumberFormat="0" applyFill="0" applyAlignment="0" applyProtection="0"/>
  </cellStyleXfs>
  <cellXfs count="12">
    <xf numFmtId="0" fontId="0" fillId="0" borderId="0" xfId="0"/>
    <xf numFmtId="3" fontId="0" fillId="0" borderId="0" xfId="0" applyNumberFormat="1"/>
    <xf numFmtId="3" fontId="5" fillId="0" borderId="0" xfId="0" applyNumberFormat="1" applyFont="1"/>
    <xf numFmtId="3" fontId="5" fillId="0" borderId="0" xfId="0" applyNumberFormat="1" applyFont="1" applyAlignment="1">
      <alignment horizontal="right"/>
    </xf>
    <xf numFmtId="3" fontId="0" fillId="0" borderId="0" xfId="0" applyNumberFormat="1" applyFont="1"/>
    <xf numFmtId="0" fontId="1" fillId="0" borderId="0" xfId="3" applyFont="1" applyAlignment="1">
      <alignment horizontal="left"/>
    </xf>
    <xf numFmtId="0" fontId="0" fillId="0" borderId="0" xfId="0" applyFont="1" applyAlignment="1">
      <alignment horizontal="right"/>
    </xf>
    <xf numFmtId="0" fontId="0" fillId="0" borderId="0" xfId="0" applyFont="1"/>
    <xf numFmtId="3" fontId="2" fillId="0" borderId="0" xfId="4" applyNumberFormat="1" applyFont="1"/>
    <xf numFmtId="164" fontId="0" fillId="0" borderId="0" xfId="1" applyFont="1" applyAlignment="1">
      <alignment horizontal="right"/>
    </xf>
    <xf numFmtId="0" fontId="0" fillId="0" borderId="2" xfId="0" applyFont="1" applyBorder="1" applyAlignment="1">
      <alignment horizontal="right"/>
    </xf>
    <xf numFmtId="3" fontId="5" fillId="0" borderId="0" xfId="0" applyNumberFormat="1" applyFont="1" applyAlignment="1">
      <alignment horizontal="center"/>
    </xf>
  </cellXfs>
  <cellStyles count="6">
    <cellStyle name="Comma [0]" xfId="1" builtinId="6"/>
    <cellStyle name="Neutral" xfId="2" builtinId="28" customBuiltin="1"/>
    <cellStyle name="Normal" xfId="0" builtinId="0"/>
    <cellStyle name="Normal 2" xfId="3" xr:uid="{00000000-0005-0000-0000-000003000000}"/>
    <cellStyle name="Normal 3" xfId="4" xr:uid="{00000000-0005-0000-0000-000004000000}"/>
    <cellStyle name="Total" xfId="5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DZ98"/>
  <sheetViews>
    <sheetView showGridLines="0" topLeftCell="A4" zoomScale="92" zoomScaleNormal="92" workbookViewId="0">
      <selection activeCell="M98" sqref="D6:M98"/>
    </sheetView>
  </sheetViews>
  <sheetFormatPr defaultColWidth="11.42578125" defaultRowHeight="12.75" x14ac:dyDescent="0.2"/>
  <cols>
    <col min="1" max="1" width="11.42578125" style="1"/>
    <col min="2" max="2" width="22.85546875" style="1" bestFit="1" customWidth="1"/>
    <col min="3" max="3" width="22.42578125" style="1" bestFit="1" customWidth="1"/>
    <col min="4" max="13" width="10.7109375" style="1" bestFit="1" customWidth="1"/>
    <col min="14" max="14" width="17.42578125" style="1" bestFit="1" customWidth="1"/>
    <col min="15" max="15" width="23.5703125" style="1" bestFit="1" customWidth="1"/>
    <col min="16" max="16" width="7.5703125" style="1" bestFit="1" customWidth="1"/>
    <col min="17" max="17" width="9.140625" style="1" bestFit="1" customWidth="1"/>
    <col min="18" max="16384" width="11.42578125" style="1"/>
  </cols>
  <sheetData>
    <row r="1" spans="2:130" s="4" customFormat="1" ht="12.75" customHeight="1" x14ac:dyDescent="0.2">
      <c r="B1" s="11" t="s">
        <v>7</v>
      </c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</row>
    <row r="2" spans="2:130" s="4" customFormat="1" ht="12.75" customHeight="1" x14ac:dyDescent="0.2">
      <c r="B2" s="11" t="s">
        <v>48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</row>
    <row r="3" spans="2:130" s="4" customFormat="1" x14ac:dyDescent="0.2">
      <c r="B3" s="11" t="s">
        <v>8</v>
      </c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</row>
    <row r="4" spans="2:130" s="4" customFormat="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2:130" s="4" customFormat="1" x14ac:dyDescent="0.2">
      <c r="B5" s="2" t="s">
        <v>9</v>
      </c>
      <c r="C5" s="2" t="s">
        <v>9</v>
      </c>
      <c r="D5" s="3">
        <v>2010</v>
      </c>
      <c r="E5" s="3">
        <v>2011</v>
      </c>
      <c r="F5" s="3">
        <v>2012</v>
      </c>
      <c r="G5" s="3">
        <v>2013</v>
      </c>
      <c r="H5" s="3">
        <v>2014</v>
      </c>
      <c r="I5" s="3">
        <v>2015</v>
      </c>
      <c r="J5" s="3">
        <v>2016</v>
      </c>
      <c r="K5" s="3">
        <v>2017</v>
      </c>
      <c r="L5" s="3">
        <v>2018</v>
      </c>
      <c r="M5" s="3">
        <v>2019</v>
      </c>
    </row>
    <row r="6" spans="2:130" s="7" customFormat="1" x14ac:dyDescent="0.2">
      <c r="B6" s="5" t="s">
        <v>0</v>
      </c>
      <c r="C6" s="5" t="s">
        <v>13</v>
      </c>
      <c r="D6" s="8">
        <v>954931</v>
      </c>
      <c r="E6" s="8">
        <v>1034177</v>
      </c>
      <c r="F6" s="8">
        <v>1252123</v>
      </c>
      <c r="G6" s="8">
        <v>1449024</v>
      </c>
      <c r="H6" s="8">
        <v>1667795</v>
      </c>
      <c r="I6" s="8">
        <v>1708242</v>
      </c>
      <c r="J6" s="8">
        <v>1685815</v>
      </c>
      <c r="K6" s="8">
        <v>1590062</v>
      </c>
      <c r="L6" s="8">
        <v>1737125</v>
      </c>
      <c r="M6" s="8">
        <v>1822066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</row>
    <row r="7" spans="2:130" s="7" customFormat="1" x14ac:dyDescent="0.2">
      <c r="B7" s="5" t="s">
        <v>0</v>
      </c>
      <c r="C7" s="5" t="s">
        <v>14</v>
      </c>
      <c r="D7" s="8">
        <v>279175</v>
      </c>
      <c r="E7" s="8">
        <v>341912</v>
      </c>
      <c r="F7" s="8">
        <v>386753</v>
      </c>
      <c r="G7" s="8">
        <v>437589</v>
      </c>
      <c r="H7" s="8">
        <v>465539</v>
      </c>
      <c r="I7" s="8">
        <v>525963</v>
      </c>
      <c r="J7" s="8">
        <v>682271</v>
      </c>
      <c r="K7" s="8">
        <v>742792</v>
      </c>
      <c r="L7" s="8">
        <v>803194</v>
      </c>
      <c r="M7" s="8">
        <v>875646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</row>
    <row r="8" spans="2:130" s="7" customFormat="1" x14ac:dyDescent="0.2">
      <c r="B8" s="5" t="s">
        <v>0</v>
      </c>
      <c r="C8" s="5" t="s">
        <v>15</v>
      </c>
      <c r="D8" s="8">
        <v>142174</v>
      </c>
      <c r="E8" s="8">
        <v>161312</v>
      </c>
      <c r="F8" s="8">
        <v>166588</v>
      </c>
      <c r="G8" s="8">
        <v>194193</v>
      </c>
      <c r="H8" s="8">
        <v>203111</v>
      </c>
      <c r="I8" s="8">
        <v>230145</v>
      </c>
      <c r="J8" s="8">
        <v>291959</v>
      </c>
      <c r="K8" s="8">
        <v>335544</v>
      </c>
      <c r="L8" s="8">
        <v>383126</v>
      </c>
      <c r="M8" s="8">
        <v>427206</v>
      </c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</row>
    <row r="9" spans="2:130" s="7" customFormat="1" x14ac:dyDescent="0.2">
      <c r="B9" s="5" t="s">
        <v>0</v>
      </c>
      <c r="C9" s="5" t="s">
        <v>16</v>
      </c>
      <c r="D9" s="8">
        <v>588146</v>
      </c>
      <c r="E9" s="8">
        <v>696328</v>
      </c>
      <c r="F9" s="8">
        <v>1033795</v>
      </c>
      <c r="G9" s="8">
        <v>1393300</v>
      </c>
      <c r="H9" s="8">
        <v>1296650</v>
      </c>
      <c r="I9" s="8">
        <v>1315248</v>
      </c>
      <c r="J9" s="8">
        <v>1412864</v>
      </c>
      <c r="K9" s="8">
        <v>1516606</v>
      </c>
      <c r="L9" s="8">
        <v>1804160</v>
      </c>
      <c r="M9" s="8">
        <v>2042703</v>
      </c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</row>
    <row r="10" spans="2:130" s="7" customFormat="1" x14ac:dyDescent="0.2">
      <c r="B10" s="5" t="s">
        <v>0</v>
      </c>
      <c r="C10" s="5" t="s">
        <v>17</v>
      </c>
      <c r="D10" s="8">
        <v>0</v>
      </c>
      <c r="E10" s="8">
        <v>0</v>
      </c>
      <c r="F10" s="8">
        <v>6269</v>
      </c>
      <c r="G10" s="8">
        <v>45025</v>
      </c>
      <c r="H10" s="8">
        <v>55369</v>
      </c>
      <c r="I10" s="8">
        <v>52917</v>
      </c>
      <c r="J10" s="8">
        <v>58933</v>
      </c>
      <c r="K10" s="8">
        <v>67573</v>
      </c>
      <c r="L10" s="8">
        <v>69470</v>
      </c>
      <c r="M10" s="8">
        <v>69040</v>
      </c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</row>
    <row r="11" spans="2:130" s="7" customFormat="1" x14ac:dyDescent="0.2">
      <c r="B11" s="5" t="s">
        <v>0</v>
      </c>
      <c r="C11" s="5" t="s">
        <v>18</v>
      </c>
      <c r="D11" s="8">
        <v>626991</v>
      </c>
      <c r="E11" s="8">
        <v>724546</v>
      </c>
      <c r="F11" s="8">
        <v>806844</v>
      </c>
      <c r="G11" s="8">
        <v>837645</v>
      </c>
      <c r="H11" s="8">
        <v>880513</v>
      </c>
      <c r="I11" s="8">
        <v>894157</v>
      </c>
      <c r="J11" s="8">
        <v>964732</v>
      </c>
      <c r="K11" s="8">
        <v>1045150</v>
      </c>
      <c r="L11" s="8">
        <v>1194126</v>
      </c>
      <c r="M11" s="8">
        <v>1332730</v>
      </c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</row>
    <row r="12" spans="2:130" s="7" customFormat="1" x14ac:dyDescent="0.2">
      <c r="B12" s="5" t="s">
        <v>0</v>
      </c>
      <c r="C12" s="5" t="s">
        <v>19</v>
      </c>
      <c r="D12" s="8">
        <v>244423</v>
      </c>
      <c r="E12" s="8">
        <v>368392</v>
      </c>
      <c r="F12" s="8">
        <v>483627</v>
      </c>
      <c r="G12" s="8">
        <v>571518</v>
      </c>
      <c r="H12" s="8">
        <v>531992</v>
      </c>
      <c r="I12" s="8">
        <v>425566</v>
      </c>
      <c r="J12" s="8">
        <v>471761</v>
      </c>
      <c r="K12" s="8">
        <v>504145</v>
      </c>
      <c r="L12" s="8">
        <v>566133</v>
      </c>
      <c r="M12" s="8">
        <v>615383</v>
      </c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</row>
    <row r="13" spans="2:130" s="7" customFormat="1" x14ac:dyDescent="0.2">
      <c r="B13" s="5" t="s">
        <v>0</v>
      </c>
      <c r="C13" s="5" t="s">
        <v>20</v>
      </c>
      <c r="D13" s="8">
        <v>7155</v>
      </c>
      <c r="E13" s="8">
        <v>10247</v>
      </c>
      <c r="F13" s="8">
        <v>13311</v>
      </c>
      <c r="G13" s="8">
        <v>8043</v>
      </c>
      <c r="H13" s="8">
        <v>11911</v>
      </c>
      <c r="I13" s="8">
        <v>12075</v>
      </c>
      <c r="J13" s="8">
        <v>12447</v>
      </c>
      <c r="K13" s="8">
        <v>9582</v>
      </c>
      <c r="L13" s="8">
        <v>10647</v>
      </c>
      <c r="M13" s="8">
        <v>9578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</row>
    <row r="14" spans="2:130" s="7" customFormat="1" x14ac:dyDescent="0.2">
      <c r="B14" s="5" t="s">
        <v>0</v>
      </c>
      <c r="C14" s="5" t="s">
        <v>21</v>
      </c>
      <c r="D14" s="8">
        <v>637601</v>
      </c>
      <c r="E14" s="8">
        <v>807405</v>
      </c>
      <c r="F14" s="8">
        <v>881754</v>
      </c>
      <c r="G14" s="8">
        <v>907903</v>
      </c>
      <c r="H14" s="8">
        <v>872618</v>
      </c>
      <c r="I14" s="8">
        <v>963976</v>
      </c>
      <c r="J14" s="8">
        <v>1091494</v>
      </c>
      <c r="K14" s="8">
        <v>1154530</v>
      </c>
      <c r="L14" s="8">
        <v>1251532</v>
      </c>
      <c r="M14" s="8">
        <v>1420833</v>
      </c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</row>
    <row r="15" spans="2:130" s="7" customFormat="1" x14ac:dyDescent="0.2">
      <c r="B15" s="5" t="s">
        <v>0</v>
      </c>
      <c r="C15" s="5" t="s">
        <v>22</v>
      </c>
      <c r="D15" s="8">
        <v>121073</v>
      </c>
      <c r="E15" s="8">
        <v>118781</v>
      </c>
      <c r="F15" s="8">
        <v>135081</v>
      </c>
      <c r="G15" s="8">
        <v>152593</v>
      </c>
      <c r="H15" s="8">
        <v>163675</v>
      </c>
      <c r="I15" s="8">
        <v>188991</v>
      </c>
      <c r="J15" s="8">
        <v>215557</v>
      </c>
      <c r="K15" s="8">
        <v>237940</v>
      </c>
      <c r="L15" s="8">
        <v>256351</v>
      </c>
      <c r="M15" s="8">
        <v>302580</v>
      </c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</row>
    <row r="16" spans="2:130" s="7" customFormat="1" x14ac:dyDescent="0.2">
      <c r="B16" s="5" t="s">
        <v>0</v>
      </c>
      <c r="C16" s="5" t="s">
        <v>23</v>
      </c>
      <c r="D16" s="8">
        <v>306221</v>
      </c>
      <c r="E16" s="8">
        <v>397504</v>
      </c>
      <c r="F16" s="8">
        <v>453576</v>
      </c>
      <c r="G16" s="8">
        <v>480933</v>
      </c>
      <c r="H16" s="8">
        <v>519482</v>
      </c>
      <c r="I16" s="8">
        <v>555042</v>
      </c>
      <c r="J16" s="8">
        <v>596263</v>
      </c>
      <c r="K16" s="8">
        <v>658585</v>
      </c>
      <c r="L16" s="8">
        <v>767772</v>
      </c>
      <c r="M16" s="8">
        <v>866512</v>
      </c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</row>
    <row r="17" spans="2:130" s="7" customFormat="1" x14ac:dyDescent="0.2">
      <c r="B17" s="5" t="s">
        <v>0</v>
      </c>
      <c r="C17" s="5" t="s">
        <v>24</v>
      </c>
      <c r="D17" s="8">
        <v>99296</v>
      </c>
      <c r="E17" s="8">
        <v>105409</v>
      </c>
      <c r="F17" s="8">
        <v>106471</v>
      </c>
      <c r="G17" s="8">
        <v>88594</v>
      </c>
      <c r="H17" s="8">
        <v>76965</v>
      </c>
      <c r="I17" s="8">
        <v>59327</v>
      </c>
      <c r="J17" s="8">
        <v>49261</v>
      </c>
      <c r="K17" s="8">
        <v>71557</v>
      </c>
      <c r="L17" s="8">
        <v>137944</v>
      </c>
      <c r="M17" s="8">
        <v>162958</v>
      </c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</row>
    <row r="18" spans="2:130" s="7" customFormat="1" x14ac:dyDescent="0.2">
      <c r="B18" s="5" t="s">
        <v>0</v>
      </c>
      <c r="C18" s="5" t="s">
        <v>25</v>
      </c>
      <c r="D18" s="8">
        <v>0</v>
      </c>
      <c r="E18" s="8">
        <v>0</v>
      </c>
      <c r="F18" s="8">
        <v>0</v>
      </c>
      <c r="G18" s="8">
        <v>0</v>
      </c>
      <c r="H18" s="8">
        <v>0</v>
      </c>
      <c r="I18" s="8">
        <v>1932</v>
      </c>
      <c r="J18" s="8">
        <v>3614</v>
      </c>
      <c r="K18" s="8">
        <v>4437</v>
      </c>
      <c r="L18" s="8">
        <v>5928</v>
      </c>
      <c r="M18" s="8">
        <v>6955</v>
      </c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</row>
    <row r="19" spans="2:130" s="7" customFormat="1" x14ac:dyDescent="0.2">
      <c r="B19" s="5" t="s">
        <v>0</v>
      </c>
      <c r="C19" s="5" t="s">
        <v>39</v>
      </c>
      <c r="D19" s="8">
        <v>2986</v>
      </c>
      <c r="E19" s="8">
        <v>4534</v>
      </c>
      <c r="F19" s="8">
        <v>4887</v>
      </c>
      <c r="G19" s="8">
        <v>961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</row>
    <row r="20" spans="2:130" s="7" customFormat="1" x14ac:dyDescent="0.2">
      <c r="B20" s="5" t="s">
        <v>0</v>
      </c>
      <c r="C20" s="5" t="s">
        <v>26</v>
      </c>
      <c r="D20" s="8">
        <v>510130</v>
      </c>
      <c r="E20" s="8">
        <v>575587</v>
      </c>
      <c r="F20" s="8">
        <v>695944</v>
      </c>
      <c r="G20" s="8">
        <v>769254</v>
      </c>
      <c r="H20" s="8">
        <v>815803</v>
      </c>
      <c r="I20" s="8">
        <v>865569</v>
      </c>
      <c r="J20" s="8">
        <v>1026976</v>
      </c>
      <c r="K20" s="8">
        <v>1146643</v>
      </c>
      <c r="L20" s="8">
        <v>1293943</v>
      </c>
      <c r="M20" s="8">
        <v>1430272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</row>
    <row r="21" spans="2:130" s="7" customFormat="1" x14ac:dyDescent="0.2">
      <c r="B21" s="5" t="s">
        <v>0</v>
      </c>
      <c r="C21" s="5" t="s">
        <v>27</v>
      </c>
      <c r="D21" s="8">
        <v>7</v>
      </c>
      <c r="E21" s="8">
        <v>715</v>
      </c>
      <c r="F21" s="8">
        <v>2327</v>
      </c>
      <c r="G21" s="8">
        <v>1105</v>
      </c>
      <c r="H21" s="8">
        <v>171</v>
      </c>
      <c r="I21" s="8">
        <v>0</v>
      </c>
      <c r="J21" s="8">
        <v>3418</v>
      </c>
      <c r="K21" s="8">
        <v>21616</v>
      </c>
      <c r="L21" s="8">
        <v>15306</v>
      </c>
      <c r="M21" s="8">
        <v>24661</v>
      </c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</row>
    <row r="22" spans="2:130" s="7" customFormat="1" x14ac:dyDescent="0.2">
      <c r="B22" s="5" t="s">
        <v>0</v>
      </c>
      <c r="C22" s="5" t="s">
        <v>28</v>
      </c>
      <c r="D22" s="8">
        <v>370365</v>
      </c>
      <c r="E22" s="8">
        <v>410589</v>
      </c>
      <c r="F22" s="8">
        <v>440229</v>
      </c>
      <c r="G22" s="8">
        <v>499544</v>
      </c>
      <c r="H22" s="8">
        <v>525042</v>
      </c>
      <c r="I22" s="8">
        <v>561751</v>
      </c>
      <c r="J22" s="8">
        <v>701952</v>
      </c>
      <c r="K22" s="8">
        <v>774293</v>
      </c>
      <c r="L22" s="8">
        <v>897505</v>
      </c>
      <c r="M22" s="8">
        <v>901822</v>
      </c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</row>
    <row r="23" spans="2:130" s="7" customFormat="1" x14ac:dyDescent="0.2">
      <c r="B23" s="5" t="s">
        <v>0</v>
      </c>
      <c r="C23" s="5" t="s">
        <v>37</v>
      </c>
      <c r="D23" s="8">
        <v>0</v>
      </c>
      <c r="E23" s="8">
        <v>120</v>
      </c>
      <c r="F23" s="8">
        <v>92</v>
      </c>
      <c r="G23" s="8">
        <v>0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0</v>
      </c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</row>
    <row r="24" spans="2:130" s="7" customFormat="1" x14ac:dyDescent="0.2">
      <c r="B24" s="5" t="s">
        <v>0</v>
      </c>
      <c r="C24" s="5" t="s">
        <v>29</v>
      </c>
      <c r="D24" s="8">
        <v>306084</v>
      </c>
      <c r="E24" s="8">
        <v>353458</v>
      </c>
      <c r="F24" s="8">
        <v>408403</v>
      </c>
      <c r="G24" s="8">
        <v>458301</v>
      </c>
      <c r="H24" s="8">
        <v>503507</v>
      </c>
      <c r="I24" s="8">
        <v>575213</v>
      </c>
      <c r="J24" s="8">
        <v>674488</v>
      </c>
      <c r="K24" s="8">
        <v>753523</v>
      </c>
      <c r="L24" s="8">
        <v>912873</v>
      </c>
      <c r="M24" s="8">
        <v>975800</v>
      </c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</row>
    <row r="25" spans="2:130" s="7" customFormat="1" x14ac:dyDescent="0.2">
      <c r="B25" s="5" t="s">
        <v>0</v>
      </c>
      <c r="C25" s="5" t="s">
        <v>30</v>
      </c>
      <c r="D25" s="8">
        <v>104650</v>
      </c>
      <c r="E25" s="8">
        <v>121097</v>
      </c>
      <c r="F25" s="8">
        <v>150513</v>
      </c>
      <c r="G25" s="8">
        <v>109898</v>
      </c>
      <c r="H25" s="8">
        <v>133333</v>
      </c>
      <c r="I25" s="8">
        <v>122153</v>
      </c>
      <c r="J25" s="8">
        <v>146267</v>
      </c>
      <c r="K25" s="8">
        <v>200271</v>
      </c>
      <c r="L25" s="8">
        <v>238779</v>
      </c>
      <c r="M25" s="8">
        <v>343506</v>
      </c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</row>
    <row r="26" spans="2:130" s="7" customFormat="1" x14ac:dyDescent="0.2">
      <c r="B26" s="5" t="s">
        <v>1</v>
      </c>
      <c r="C26" s="5" t="s">
        <v>13</v>
      </c>
      <c r="D26" s="8">
        <v>19665</v>
      </c>
      <c r="E26" s="8">
        <v>22309</v>
      </c>
      <c r="F26" s="8">
        <v>14830</v>
      </c>
      <c r="G26" s="8">
        <v>15932</v>
      </c>
      <c r="H26" s="8">
        <v>14906</v>
      </c>
      <c r="I26" s="8">
        <v>11340</v>
      </c>
      <c r="J26" s="8">
        <v>0</v>
      </c>
      <c r="K26" s="8">
        <v>5800</v>
      </c>
      <c r="L26" s="8">
        <v>11472</v>
      </c>
      <c r="M26" s="8">
        <v>25901</v>
      </c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</row>
    <row r="27" spans="2:130" s="7" customFormat="1" x14ac:dyDescent="0.2">
      <c r="B27" s="5" t="s">
        <v>1</v>
      </c>
      <c r="C27" s="5" t="s">
        <v>16</v>
      </c>
      <c r="D27" s="8">
        <v>319</v>
      </c>
      <c r="E27" s="8">
        <v>335</v>
      </c>
      <c r="F27" s="8">
        <v>19</v>
      </c>
      <c r="G27" s="8">
        <v>204</v>
      </c>
      <c r="H27" s="8">
        <v>0</v>
      </c>
      <c r="I27" s="8">
        <v>112</v>
      </c>
      <c r="J27" s="8">
        <v>0</v>
      </c>
      <c r="K27" s="8">
        <v>0</v>
      </c>
      <c r="L27" s="8">
        <v>2988</v>
      </c>
      <c r="M27" s="8">
        <v>2382</v>
      </c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</row>
    <row r="28" spans="2:130" s="7" customFormat="1" x14ac:dyDescent="0.2">
      <c r="B28" s="5" t="s">
        <v>1</v>
      </c>
      <c r="C28" s="5" t="s">
        <v>18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1591</v>
      </c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</row>
    <row r="29" spans="2:130" s="7" customFormat="1" x14ac:dyDescent="0.2">
      <c r="B29" s="5" t="s">
        <v>1</v>
      </c>
      <c r="C29" s="5" t="s">
        <v>19</v>
      </c>
      <c r="D29" s="8">
        <v>5401</v>
      </c>
      <c r="E29" s="8">
        <v>2973</v>
      </c>
      <c r="F29" s="8">
        <v>777</v>
      </c>
      <c r="G29" s="8">
        <v>0</v>
      </c>
      <c r="H29" s="8">
        <v>0</v>
      </c>
      <c r="I29" s="8">
        <v>0</v>
      </c>
      <c r="J29" s="8">
        <v>0</v>
      </c>
      <c r="K29" s="8">
        <v>695</v>
      </c>
      <c r="L29" s="8">
        <v>248</v>
      </c>
      <c r="M29" s="8">
        <v>0</v>
      </c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</row>
    <row r="30" spans="2:130" s="7" customFormat="1" x14ac:dyDescent="0.2">
      <c r="B30" s="5" t="s">
        <v>1</v>
      </c>
      <c r="C30" s="5" t="s">
        <v>21</v>
      </c>
      <c r="D30" s="8">
        <v>50418</v>
      </c>
      <c r="E30" s="8">
        <v>70237</v>
      </c>
      <c r="F30" s="8">
        <v>78858</v>
      </c>
      <c r="G30" s="8">
        <v>95855</v>
      </c>
      <c r="H30" s="8">
        <v>99191</v>
      </c>
      <c r="I30" s="8">
        <v>48536</v>
      </c>
      <c r="J30" s="8">
        <v>20207</v>
      </c>
      <c r="K30" s="8">
        <v>14579</v>
      </c>
      <c r="L30" s="8">
        <v>3297</v>
      </c>
      <c r="M30" s="8">
        <v>450</v>
      </c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</row>
    <row r="31" spans="2:130" s="7" customFormat="1" x14ac:dyDescent="0.2">
      <c r="B31" s="5" t="s">
        <v>1</v>
      </c>
      <c r="C31" s="5" t="s">
        <v>23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428</v>
      </c>
      <c r="L31" s="8">
        <v>0</v>
      </c>
      <c r="M31" s="8">
        <v>3150</v>
      </c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</row>
    <row r="32" spans="2:130" s="7" customFormat="1" x14ac:dyDescent="0.2">
      <c r="B32" s="5" t="s">
        <v>1</v>
      </c>
      <c r="C32" s="5" t="s">
        <v>25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80</v>
      </c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</row>
    <row r="33" spans="2:130" s="7" customFormat="1" x14ac:dyDescent="0.2">
      <c r="B33" s="5" t="s">
        <v>10</v>
      </c>
      <c r="C33" s="5" t="s">
        <v>16</v>
      </c>
      <c r="D33" s="8">
        <v>5993</v>
      </c>
      <c r="E33" s="8">
        <v>4858</v>
      </c>
      <c r="F33" s="8">
        <v>3119</v>
      </c>
      <c r="G33" s="8">
        <v>1059</v>
      </c>
      <c r="H33" s="8">
        <v>226</v>
      </c>
      <c r="I33" s="8">
        <v>0</v>
      </c>
      <c r="J33" s="8">
        <v>0</v>
      </c>
      <c r="K33" s="8">
        <v>535</v>
      </c>
      <c r="L33" s="8">
        <v>588</v>
      </c>
      <c r="M33" s="8">
        <v>0</v>
      </c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</row>
    <row r="34" spans="2:130" s="7" customFormat="1" x14ac:dyDescent="0.2">
      <c r="B34" s="5" t="s">
        <v>10</v>
      </c>
      <c r="C34" s="5" t="s">
        <v>18</v>
      </c>
      <c r="D34" s="8">
        <v>244</v>
      </c>
      <c r="E34" s="8">
        <v>0</v>
      </c>
      <c r="F34" s="8">
        <v>0</v>
      </c>
      <c r="G34" s="8">
        <v>65</v>
      </c>
      <c r="H34" s="8">
        <v>149</v>
      </c>
      <c r="I34" s="8">
        <v>0</v>
      </c>
      <c r="J34" s="8">
        <v>74</v>
      </c>
      <c r="K34" s="8">
        <v>0</v>
      </c>
      <c r="L34" s="8">
        <v>33300</v>
      </c>
      <c r="M34" s="8">
        <v>56926</v>
      </c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</row>
    <row r="35" spans="2:130" s="7" customFormat="1" x14ac:dyDescent="0.2">
      <c r="B35" s="5" t="s">
        <v>10</v>
      </c>
      <c r="C35" s="5" t="s">
        <v>19</v>
      </c>
      <c r="D35" s="8">
        <v>9424</v>
      </c>
      <c r="E35" s="8">
        <v>5471</v>
      </c>
      <c r="F35" s="8">
        <v>1231</v>
      </c>
      <c r="G35" s="8">
        <v>47</v>
      </c>
      <c r="H35" s="8">
        <v>0</v>
      </c>
      <c r="I35" s="8">
        <v>37</v>
      </c>
      <c r="J35" s="8">
        <v>0</v>
      </c>
      <c r="K35" s="8">
        <v>1106</v>
      </c>
      <c r="L35" s="8">
        <v>754</v>
      </c>
      <c r="M35" s="8">
        <v>0</v>
      </c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</row>
    <row r="36" spans="2:130" s="7" customFormat="1" x14ac:dyDescent="0.2">
      <c r="B36" s="5" t="s">
        <v>10</v>
      </c>
      <c r="C36" s="5" t="s">
        <v>20</v>
      </c>
      <c r="D36" s="8">
        <v>0</v>
      </c>
      <c r="E36" s="8">
        <v>0</v>
      </c>
      <c r="F36" s="8">
        <v>0</v>
      </c>
      <c r="G36" s="8">
        <v>0</v>
      </c>
      <c r="H36" s="8">
        <v>0</v>
      </c>
      <c r="I36" s="8">
        <v>74</v>
      </c>
      <c r="J36" s="8">
        <v>0</v>
      </c>
      <c r="K36" s="8">
        <v>0</v>
      </c>
      <c r="L36" s="8">
        <v>0</v>
      </c>
      <c r="M36" s="8">
        <v>0</v>
      </c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</row>
    <row r="37" spans="2:130" s="7" customFormat="1" x14ac:dyDescent="0.2">
      <c r="B37" s="5" t="s">
        <v>10</v>
      </c>
      <c r="C37" s="5" t="s">
        <v>23</v>
      </c>
      <c r="D37" s="8">
        <v>89</v>
      </c>
      <c r="E37" s="8">
        <v>42</v>
      </c>
      <c r="F37" s="8">
        <v>0</v>
      </c>
      <c r="G37" s="8">
        <v>0</v>
      </c>
      <c r="H37" s="8">
        <v>0</v>
      </c>
      <c r="I37" s="8">
        <v>128</v>
      </c>
      <c r="J37" s="8">
        <v>0</v>
      </c>
      <c r="K37" s="8">
        <v>2250</v>
      </c>
      <c r="L37" s="8">
        <v>42441</v>
      </c>
      <c r="M37" s="8">
        <v>73350</v>
      </c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</row>
    <row r="38" spans="2:130" s="7" customFormat="1" x14ac:dyDescent="0.2">
      <c r="B38" s="5" t="s">
        <v>10</v>
      </c>
      <c r="C38" s="5" t="s">
        <v>25</v>
      </c>
      <c r="D38" s="8">
        <v>0</v>
      </c>
      <c r="E38" s="8">
        <v>0</v>
      </c>
      <c r="F38" s="8">
        <v>0</v>
      </c>
      <c r="G38" s="8">
        <v>0</v>
      </c>
      <c r="H38" s="8">
        <v>0</v>
      </c>
      <c r="I38" s="8">
        <v>1238</v>
      </c>
      <c r="J38" s="8">
        <v>2994</v>
      </c>
      <c r="K38" s="8">
        <v>3372</v>
      </c>
      <c r="L38" s="8">
        <v>1118</v>
      </c>
      <c r="M38" s="8">
        <v>1379</v>
      </c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</row>
    <row r="39" spans="2:130" s="7" customFormat="1" x14ac:dyDescent="0.2">
      <c r="B39" s="5" t="s">
        <v>10</v>
      </c>
      <c r="C39" s="5" t="s">
        <v>40</v>
      </c>
      <c r="D39" s="8">
        <v>0</v>
      </c>
      <c r="E39" s="8">
        <v>0</v>
      </c>
      <c r="F39" s="8">
        <v>0</v>
      </c>
      <c r="G39" s="8">
        <v>0</v>
      </c>
      <c r="H39" s="8">
        <v>0</v>
      </c>
      <c r="I39" s="8">
        <v>0</v>
      </c>
      <c r="J39" s="8">
        <v>0</v>
      </c>
      <c r="K39" s="8">
        <v>0</v>
      </c>
      <c r="L39" s="8">
        <v>17</v>
      </c>
      <c r="M39" s="8">
        <v>0</v>
      </c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</row>
    <row r="40" spans="2:130" s="7" customFormat="1" x14ac:dyDescent="0.2">
      <c r="B40" s="5" t="s">
        <v>2</v>
      </c>
      <c r="C40" s="5" t="s">
        <v>16</v>
      </c>
      <c r="D40" s="8">
        <v>19049</v>
      </c>
      <c r="E40" s="8">
        <v>18134</v>
      </c>
      <c r="F40" s="8">
        <v>10339</v>
      </c>
      <c r="G40" s="8">
        <v>1958</v>
      </c>
      <c r="H40" s="8">
        <v>1149</v>
      </c>
      <c r="I40" s="8">
        <v>184</v>
      </c>
      <c r="J40" s="8">
        <v>0</v>
      </c>
      <c r="K40" s="8">
        <v>140</v>
      </c>
      <c r="L40" s="8">
        <v>0</v>
      </c>
      <c r="M40" s="8">
        <v>94</v>
      </c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</row>
    <row r="41" spans="2:130" s="7" customFormat="1" x14ac:dyDescent="0.2">
      <c r="B41" s="5" t="s">
        <v>2</v>
      </c>
      <c r="C41" s="5" t="s">
        <v>18</v>
      </c>
      <c r="D41" s="8">
        <v>106</v>
      </c>
      <c r="E41" s="8">
        <v>0</v>
      </c>
      <c r="F41" s="8">
        <v>587</v>
      </c>
      <c r="G41" s="8">
        <v>44609</v>
      </c>
      <c r="H41" s="8">
        <v>37895</v>
      </c>
      <c r="I41" s="8">
        <v>10422</v>
      </c>
      <c r="J41" s="8">
        <v>324</v>
      </c>
      <c r="K41" s="8">
        <v>29691</v>
      </c>
      <c r="L41" s="8">
        <v>107078</v>
      </c>
      <c r="M41" s="8">
        <v>110413</v>
      </c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</row>
    <row r="42" spans="2:130" s="7" customFormat="1" x14ac:dyDescent="0.2">
      <c r="B42" s="5" t="s">
        <v>2</v>
      </c>
      <c r="C42" s="5" t="s">
        <v>19</v>
      </c>
      <c r="D42" s="8">
        <v>5964</v>
      </c>
      <c r="E42" s="8">
        <v>8917</v>
      </c>
      <c r="F42" s="8">
        <v>11083</v>
      </c>
      <c r="G42" s="8">
        <v>3988</v>
      </c>
      <c r="H42" s="8">
        <v>223</v>
      </c>
      <c r="I42" s="8">
        <v>0</v>
      </c>
      <c r="J42" s="8">
        <v>204</v>
      </c>
      <c r="K42" s="8">
        <v>5990</v>
      </c>
      <c r="L42" s="8">
        <v>1389</v>
      </c>
      <c r="M42" s="8">
        <v>0</v>
      </c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</row>
    <row r="43" spans="2:130" s="7" customFormat="1" x14ac:dyDescent="0.2">
      <c r="B43" s="5" t="s">
        <v>2</v>
      </c>
      <c r="C43" s="5" t="s">
        <v>20</v>
      </c>
      <c r="D43" s="8">
        <v>396</v>
      </c>
      <c r="E43" s="8">
        <v>146</v>
      </c>
      <c r="F43" s="8">
        <v>153</v>
      </c>
      <c r="G43" s="8">
        <v>0</v>
      </c>
      <c r="H43" s="8">
        <v>65</v>
      </c>
      <c r="I43" s="8">
        <v>125</v>
      </c>
      <c r="J43" s="8">
        <v>0</v>
      </c>
      <c r="K43" s="8">
        <v>0</v>
      </c>
      <c r="L43" s="8">
        <v>0</v>
      </c>
      <c r="M43" s="8">
        <v>0</v>
      </c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</row>
    <row r="44" spans="2:130" s="7" customFormat="1" x14ac:dyDescent="0.2">
      <c r="B44" s="5" t="s">
        <v>2</v>
      </c>
      <c r="C44" s="5" t="s">
        <v>21</v>
      </c>
      <c r="D44" s="8">
        <v>101280</v>
      </c>
      <c r="E44" s="8">
        <v>125641</v>
      </c>
      <c r="F44" s="8">
        <v>149160</v>
      </c>
      <c r="G44" s="8">
        <v>195693</v>
      </c>
      <c r="H44" s="8">
        <v>199611</v>
      </c>
      <c r="I44" s="8">
        <v>82494</v>
      </c>
      <c r="J44" s="8">
        <v>29748</v>
      </c>
      <c r="K44" s="8">
        <v>12595</v>
      </c>
      <c r="L44" s="8">
        <v>3760</v>
      </c>
      <c r="M44" s="8">
        <v>126</v>
      </c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</row>
    <row r="45" spans="2:130" s="7" customFormat="1" x14ac:dyDescent="0.2">
      <c r="B45" s="5" t="s">
        <v>2</v>
      </c>
      <c r="C45" s="5" t="s">
        <v>23</v>
      </c>
      <c r="D45" s="8">
        <v>68275</v>
      </c>
      <c r="E45" s="8">
        <v>95868</v>
      </c>
      <c r="F45" s="8">
        <v>126360</v>
      </c>
      <c r="G45" s="8">
        <v>136812</v>
      </c>
      <c r="H45" s="8">
        <v>148388</v>
      </c>
      <c r="I45" s="8">
        <v>160907</v>
      </c>
      <c r="J45" s="8">
        <v>153481</v>
      </c>
      <c r="K45" s="8">
        <v>118464</v>
      </c>
      <c r="L45" s="8">
        <v>163721</v>
      </c>
      <c r="M45" s="8">
        <v>180076</v>
      </c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</row>
    <row r="46" spans="2:130" s="7" customFormat="1" x14ac:dyDescent="0.2">
      <c r="B46" s="5" t="s">
        <v>2</v>
      </c>
      <c r="C46" s="5" t="s">
        <v>37</v>
      </c>
      <c r="D46" s="8">
        <v>15</v>
      </c>
      <c r="E46" s="8">
        <v>0</v>
      </c>
      <c r="F46" s="8">
        <v>0</v>
      </c>
      <c r="G46" s="8">
        <v>0</v>
      </c>
      <c r="H46" s="8">
        <v>0</v>
      </c>
      <c r="I46" s="8">
        <v>0</v>
      </c>
      <c r="J46" s="8">
        <v>0</v>
      </c>
      <c r="K46" s="8">
        <v>0</v>
      </c>
      <c r="L46" s="8">
        <v>0</v>
      </c>
      <c r="M46" s="8">
        <v>0</v>
      </c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</row>
    <row r="47" spans="2:130" s="7" customFormat="1" x14ac:dyDescent="0.2">
      <c r="B47" s="5" t="s">
        <v>2</v>
      </c>
      <c r="C47" s="5" t="s">
        <v>41</v>
      </c>
      <c r="D47" s="8">
        <v>0</v>
      </c>
      <c r="E47" s="8">
        <v>0</v>
      </c>
      <c r="F47" s="8">
        <v>102</v>
      </c>
      <c r="G47" s="8">
        <v>0</v>
      </c>
      <c r="H47" s="8">
        <v>0</v>
      </c>
      <c r="I47" s="8">
        <v>0</v>
      </c>
      <c r="J47" s="8">
        <v>0</v>
      </c>
      <c r="K47" s="8">
        <v>0</v>
      </c>
      <c r="L47" s="8">
        <v>0</v>
      </c>
      <c r="M47" s="8">
        <v>0</v>
      </c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</row>
    <row r="48" spans="2:130" s="7" customFormat="1" x14ac:dyDescent="0.2">
      <c r="B48" s="5" t="s">
        <v>3</v>
      </c>
      <c r="C48" s="5" t="s">
        <v>19</v>
      </c>
      <c r="D48" s="8">
        <v>7991</v>
      </c>
      <c r="E48" s="8">
        <v>8938</v>
      </c>
      <c r="F48" s="8">
        <v>8020</v>
      </c>
      <c r="G48" s="8">
        <v>10471</v>
      </c>
      <c r="H48" s="8">
        <v>3875</v>
      </c>
      <c r="I48" s="8">
        <v>725</v>
      </c>
      <c r="J48" s="8">
        <v>0</v>
      </c>
      <c r="K48" s="8">
        <v>256</v>
      </c>
      <c r="L48" s="8">
        <v>2340</v>
      </c>
      <c r="M48" s="8">
        <v>1074</v>
      </c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</row>
    <row r="49" spans="2:130" s="7" customFormat="1" x14ac:dyDescent="0.2">
      <c r="B49" s="5" t="s">
        <v>3</v>
      </c>
      <c r="C49" s="5" t="s">
        <v>23</v>
      </c>
      <c r="D49" s="8">
        <v>1691</v>
      </c>
      <c r="E49" s="8">
        <v>5659</v>
      </c>
      <c r="F49" s="8">
        <v>15761</v>
      </c>
      <c r="G49" s="8">
        <v>33725</v>
      </c>
      <c r="H49" s="8">
        <v>53280</v>
      </c>
      <c r="I49" s="8">
        <v>41157</v>
      </c>
      <c r="J49" s="8">
        <v>25590</v>
      </c>
      <c r="K49" s="8">
        <v>27154</v>
      </c>
      <c r="L49" s="8">
        <v>78377</v>
      </c>
      <c r="M49" s="8">
        <v>106012</v>
      </c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</row>
    <row r="50" spans="2:130" s="7" customFormat="1" x14ac:dyDescent="0.2">
      <c r="B50" s="5" t="s">
        <v>3</v>
      </c>
      <c r="C50" s="5" t="s">
        <v>26</v>
      </c>
      <c r="D50" s="8">
        <v>0</v>
      </c>
      <c r="E50" s="8">
        <v>0</v>
      </c>
      <c r="F50" s="8">
        <v>0</v>
      </c>
      <c r="G50" s="8">
        <v>0</v>
      </c>
      <c r="H50" s="8">
        <v>0</v>
      </c>
      <c r="I50" s="8">
        <v>0</v>
      </c>
      <c r="J50" s="8">
        <v>22</v>
      </c>
      <c r="K50" s="8">
        <v>0</v>
      </c>
      <c r="L50" s="8">
        <v>0</v>
      </c>
      <c r="M50" s="8">
        <v>0</v>
      </c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</row>
    <row r="51" spans="2:130" s="7" customFormat="1" x14ac:dyDescent="0.2">
      <c r="B51" s="5" t="s">
        <v>42</v>
      </c>
      <c r="C51" s="5" t="s">
        <v>23</v>
      </c>
      <c r="D51" s="8">
        <v>0</v>
      </c>
      <c r="E51" s="8">
        <v>38</v>
      </c>
      <c r="F51" s="8">
        <v>101</v>
      </c>
      <c r="G51" s="8">
        <v>14</v>
      </c>
      <c r="H51" s="8">
        <v>0</v>
      </c>
      <c r="I51" s="8">
        <v>134</v>
      </c>
      <c r="J51" s="8">
        <v>0</v>
      </c>
      <c r="K51" s="8">
        <v>0</v>
      </c>
      <c r="L51" s="8">
        <v>0</v>
      </c>
      <c r="M51" s="8">
        <v>168</v>
      </c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</row>
    <row r="52" spans="2:130" s="7" customFormat="1" x14ac:dyDescent="0.2">
      <c r="B52" s="5" t="s">
        <v>35</v>
      </c>
      <c r="C52" s="5" t="s">
        <v>18</v>
      </c>
      <c r="D52" s="8">
        <v>0</v>
      </c>
      <c r="E52" s="8">
        <v>0</v>
      </c>
      <c r="F52" s="8">
        <v>0</v>
      </c>
      <c r="G52" s="8">
        <v>302</v>
      </c>
      <c r="H52" s="8">
        <v>169</v>
      </c>
      <c r="I52" s="8">
        <v>0</v>
      </c>
      <c r="J52" s="8">
        <v>0</v>
      </c>
      <c r="K52" s="8">
        <v>0</v>
      </c>
      <c r="L52" s="8">
        <v>0</v>
      </c>
      <c r="M52" s="8">
        <v>0</v>
      </c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</row>
    <row r="53" spans="2:130" s="7" customFormat="1" x14ac:dyDescent="0.2">
      <c r="B53" s="5" t="s">
        <v>35</v>
      </c>
      <c r="C53" s="5" t="s">
        <v>20</v>
      </c>
      <c r="D53" s="8">
        <v>55</v>
      </c>
      <c r="E53" s="8">
        <v>29</v>
      </c>
      <c r="F53" s="8">
        <v>23</v>
      </c>
      <c r="G53" s="8">
        <v>0</v>
      </c>
      <c r="H53" s="8">
        <v>0</v>
      </c>
      <c r="I53" s="8">
        <v>176</v>
      </c>
      <c r="J53" s="8">
        <v>0</v>
      </c>
      <c r="K53" s="8">
        <v>0</v>
      </c>
      <c r="L53" s="8">
        <v>0</v>
      </c>
      <c r="M53" s="8">
        <v>1</v>
      </c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</row>
    <row r="54" spans="2:130" s="7" customFormat="1" x14ac:dyDescent="0.2">
      <c r="B54" s="5" t="s">
        <v>35</v>
      </c>
      <c r="C54" s="5" t="s">
        <v>23</v>
      </c>
      <c r="D54" s="8">
        <v>1395</v>
      </c>
      <c r="E54" s="8">
        <v>8471</v>
      </c>
      <c r="F54" s="8">
        <v>10713</v>
      </c>
      <c r="G54" s="8">
        <v>11515</v>
      </c>
      <c r="H54" s="8">
        <v>3724</v>
      </c>
      <c r="I54" s="8">
        <v>522</v>
      </c>
      <c r="J54" s="8">
        <v>0</v>
      </c>
      <c r="K54" s="8">
        <v>3371</v>
      </c>
      <c r="L54" s="8">
        <v>82</v>
      </c>
      <c r="M54" s="8">
        <v>0</v>
      </c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</row>
    <row r="55" spans="2:130" s="7" customFormat="1" x14ac:dyDescent="0.2">
      <c r="B55" s="5" t="s">
        <v>35</v>
      </c>
      <c r="C55" s="5" t="s">
        <v>41</v>
      </c>
      <c r="D55" s="8">
        <v>46</v>
      </c>
      <c r="E55" s="8">
        <v>0</v>
      </c>
      <c r="F55" s="8">
        <v>0</v>
      </c>
      <c r="G55" s="8">
        <v>0</v>
      </c>
      <c r="H55" s="8">
        <v>0</v>
      </c>
      <c r="I55" s="8">
        <v>0</v>
      </c>
      <c r="J55" s="8">
        <v>0</v>
      </c>
      <c r="K55" s="8">
        <v>0</v>
      </c>
      <c r="L55" s="8">
        <v>0</v>
      </c>
      <c r="M55" s="8">
        <v>0</v>
      </c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</row>
    <row r="56" spans="2:130" s="7" customFormat="1" x14ac:dyDescent="0.2">
      <c r="B56" s="5" t="s">
        <v>36</v>
      </c>
      <c r="C56" s="5" t="s">
        <v>25</v>
      </c>
      <c r="D56" s="8">
        <v>0</v>
      </c>
      <c r="E56" s="8">
        <v>0</v>
      </c>
      <c r="F56" s="8">
        <v>0</v>
      </c>
      <c r="G56" s="8">
        <v>0</v>
      </c>
      <c r="H56" s="8">
        <v>0</v>
      </c>
      <c r="I56" s="8">
        <v>0</v>
      </c>
      <c r="J56" s="8">
        <v>0</v>
      </c>
      <c r="K56" s="8">
        <v>0</v>
      </c>
      <c r="L56" s="8">
        <v>0</v>
      </c>
      <c r="M56" s="8">
        <v>1119</v>
      </c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</row>
    <row r="57" spans="2:130" s="7" customFormat="1" x14ac:dyDescent="0.2">
      <c r="B57" s="5" t="s">
        <v>36</v>
      </c>
      <c r="C57" s="5" t="s">
        <v>41</v>
      </c>
      <c r="D57" s="8">
        <v>0</v>
      </c>
      <c r="E57" s="8">
        <v>0</v>
      </c>
      <c r="F57" s="8">
        <v>0</v>
      </c>
      <c r="G57" s="8">
        <v>0</v>
      </c>
      <c r="H57" s="8">
        <v>0</v>
      </c>
      <c r="I57" s="8">
        <v>160</v>
      </c>
      <c r="J57" s="8">
        <v>0</v>
      </c>
      <c r="K57" s="8">
        <v>0</v>
      </c>
      <c r="L57" s="8">
        <v>0</v>
      </c>
      <c r="M57" s="8">
        <v>0</v>
      </c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</row>
    <row r="58" spans="2:130" s="7" customFormat="1" x14ac:dyDescent="0.2">
      <c r="B58" s="5" t="s">
        <v>11</v>
      </c>
      <c r="C58" s="5" t="s">
        <v>15</v>
      </c>
      <c r="D58" s="8">
        <v>5217</v>
      </c>
      <c r="E58" s="8">
        <v>919</v>
      </c>
      <c r="F58" s="8">
        <v>12</v>
      </c>
      <c r="G58" s="8">
        <v>0</v>
      </c>
      <c r="H58" s="8">
        <v>0</v>
      </c>
      <c r="I58" s="8">
        <v>0</v>
      </c>
      <c r="J58" s="8">
        <v>0</v>
      </c>
      <c r="K58" s="8">
        <v>0</v>
      </c>
      <c r="L58" s="8">
        <v>0</v>
      </c>
      <c r="M58" s="8">
        <v>1507</v>
      </c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</row>
    <row r="59" spans="2:130" s="7" customFormat="1" x14ac:dyDescent="0.2">
      <c r="B59" s="5" t="s">
        <v>11</v>
      </c>
      <c r="C59" s="5" t="s">
        <v>16</v>
      </c>
      <c r="D59" s="8">
        <v>0</v>
      </c>
      <c r="E59" s="8">
        <v>0</v>
      </c>
      <c r="F59" s="8">
        <v>349</v>
      </c>
      <c r="G59" s="8">
        <v>939</v>
      </c>
      <c r="H59" s="8">
        <v>6212</v>
      </c>
      <c r="I59" s="8">
        <v>0</v>
      </c>
      <c r="J59" s="8">
        <v>0</v>
      </c>
      <c r="K59" s="8">
        <v>17336</v>
      </c>
      <c r="L59" s="8">
        <v>67650</v>
      </c>
      <c r="M59" s="8">
        <v>105731</v>
      </c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</row>
    <row r="60" spans="2:130" s="7" customFormat="1" x14ac:dyDescent="0.2">
      <c r="B60" s="5" t="s">
        <v>11</v>
      </c>
      <c r="C60" s="5" t="s">
        <v>17</v>
      </c>
      <c r="D60" s="8">
        <v>0</v>
      </c>
      <c r="E60" s="8">
        <v>0</v>
      </c>
      <c r="F60" s="8">
        <v>0</v>
      </c>
      <c r="G60" s="8">
        <v>0</v>
      </c>
      <c r="H60" s="8">
        <v>0</v>
      </c>
      <c r="I60" s="8">
        <v>0</v>
      </c>
      <c r="J60" s="8">
        <v>0</v>
      </c>
      <c r="K60" s="8">
        <v>138</v>
      </c>
      <c r="L60" s="8">
        <v>0</v>
      </c>
      <c r="M60" s="8">
        <v>0</v>
      </c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</row>
    <row r="61" spans="2:130" s="7" customFormat="1" x14ac:dyDescent="0.2">
      <c r="B61" s="5" t="s">
        <v>11</v>
      </c>
      <c r="C61" s="5" t="s">
        <v>23</v>
      </c>
      <c r="D61" s="8">
        <v>0</v>
      </c>
      <c r="E61" s="8">
        <v>0</v>
      </c>
      <c r="F61" s="8">
        <v>0</v>
      </c>
      <c r="G61" s="8">
        <v>0</v>
      </c>
      <c r="H61" s="8">
        <v>0</v>
      </c>
      <c r="I61" s="8">
        <v>28</v>
      </c>
      <c r="J61" s="8">
        <v>0</v>
      </c>
      <c r="K61" s="8">
        <v>0</v>
      </c>
      <c r="L61" s="8">
        <v>3640</v>
      </c>
      <c r="M61" s="8">
        <v>24191</v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</row>
    <row r="62" spans="2:130" s="7" customFormat="1" x14ac:dyDescent="0.2">
      <c r="B62" s="5" t="s">
        <v>11</v>
      </c>
      <c r="C62" s="5" t="s">
        <v>24</v>
      </c>
      <c r="D62" s="8">
        <v>0</v>
      </c>
      <c r="E62" s="8">
        <v>95</v>
      </c>
      <c r="F62" s="8">
        <v>27</v>
      </c>
      <c r="G62" s="8">
        <v>118</v>
      </c>
      <c r="H62" s="8">
        <v>1140</v>
      </c>
      <c r="I62" s="8">
        <v>154</v>
      </c>
      <c r="J62" s="8">
        <v>0</v>
      </c>
      <c r="K62" s="8">
        <v>0</v>
      </c>
      <c r="L62" s="8">
        <v>0</v>
      </c>
      <c r="M62" s="8">
        <v>0</v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</row>
    <row r="63" spans="2:130" s="7" customFormat="1" x14ac:dyDescent="0.2">
      <c r="B63" s="5" t="s">
        <v>11</v>
      </c>
      <c r="C63" s="5" t="s">
        <v>39</v>
      </c>
      <c r="D63" s="8">
        <v>86</v>
      </c>
      <c r="E63" s="8">
        <v>46</v>
      </c>
      <c r="F63" s="8">
        <v>87</v>
      </c>
      <c r="G63" s="8">
        <v>46</v>
      </c>
      <c r="H63" s="8">
        <v>0</v>
      </c>
      <c r="I63" s="8">
        <v>0</v>
      </c>
      <c r="J63" s="8">
        <v>0</v>
      </c>
      <c r="K63" s="8">
        <v>0</v>
      </c>
      <c r="L63" s="8">
        <v>0</v>
      </c>
      <c r="M63" s="8">
        <v>0</v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</row>
    <row r="64" spans="2:130" s="7" customFormat="1" x14ac:dyDescent="0.2">
      <c r="B64" s="5" t="s">
        <v>11</v>
      </c>
      <c r="C64" s="5" t="s">
        <v>26</v>
      </c>
      <c r="D64" s="8">
        <v>26238</v>
      </c>
      <c r="E64" s="8">
        <v>34479</v>
      </c>
      <c r="F64" s="8">
        <v>40597</v>
      </c>
      <c r="G64" s="8">
        <v>39719</v>
      </c>
      <c r="H64" s="8">
        <v>19046</v>
      </c>
      <c r="I64" s="8">
        <v>0</v>
      </c>
      <c r="J64" s="8">
        <v>0</v>
      </c>
      <c r="K64" s="8">
        <v>19778</v>
      </c>
      <c r="L64" s="8">
        <v>15058</v>
      </c>
      <c r="M64" s="8">
        <v>84</v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</row>
    <row r="65" spans="2:130" s="7" customFormat="1" x14ac:dyDescent="0.2">
      <c r="B65" s="5" t="s">
        <v>11</v>
      </c>
      <c r="C65" s="5" t="s">
        <v>27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152</v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</row>
    <row r="66" spans="2:130" s="7" customFormat="1" x14ac:dyDescent="0.2">
      <c r="B66" s="5" t="s">
        <v>11</v>
      </c>
      <c r="C66" s="5" t="s">
        <v>28</v>
      </c>
      <c r="D66" s="8">
        <v>1778</v>
      </c>
      <c r="E66" s="8">
        <v>373</v>
      </c>
      <c r="F66" s="8">
        <v>17</v>
      </c>
      <c r="G66" s="8">
        <v>88</v>
      </c>
      <c r="H66" s="8">
        <v>2</v>
      </c>
      <c r="I66" s="8">
        <v>0</v>
      </c>
      <c r="J66" s="8">
        <v>0</v>
      </c>
      <c r="K66" s="8">
        <v>7884</v>
      </c>
      <c r="L66" s="8">
        <v>26255</v>
      </c>
      <c r="M66" s="8">
        <v>30478</v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</row>
    <row r="67" spans="2:130" s="7" customFormat="1" x14ac:dyDescent="0.2">
      <c r="B67" s="5" t="s">
        <v>11</v>
      </c>
      <c r="C67" s="5" t="s">
        <v>29</v>
      </c>
      <c r="D67" s="8">
        <v>10533</v>
      </c>
      <c r="E67" s="8">
        <v>8629</v>
      </c>
      <c r="F67" s="8">
        <v>7455</v>
      </c>
      <c r="G67" s="8">
        <v>3902</v>
      </c>
      <c r="H67" s="8">
        <v>484</v>
      </c>
      <c r="I67" s="8">
        <v>0</v>
      </c>
      <c r="J67" s="8">
        <v>0</v>
      </c>
      <c r="K67" s="8">
        <v>0</v>
      </c>
      <c r="L67" s="8">
        <v>0</v>
      </c>
      <c r="M67" s="8">
        <v>0</v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</row>
    <row r="68" spans="2:130" s="7" customFormat="1" x14ac:dyDescent="0.2">
      <c r="B68" s="5" t="s">
        <v>11</v>
      </c>
      <c r="C68" s="5" t="s">
        <v>30</v>
      </c>
      <c r="D68" s="8">
        <v>0</v>
      </c>
      <c r="E68" s="8">
        <v>0</v>
      </c>
      <c r="F68" s="8">
        <v>27</v>
      </c>
      <c r="G68" s="8">
        <v>10211</v>
      </c>
      <c r="H68" s="8">
        <v>19260</v>
      </c>
      <c r="I68" s="8">
        <v>3460</v>
      </c>
      <c r="J68" s="8">
        <v>0</v>
      </c>
      <c r="K68" s="8">
        <v>0</v>
      </c>
      <c r="L68" s="8">
        <v>0</v>
      </c>
      <c r="M68" s="8">
        <v>146</v>
      </c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6"/>
      <c r="CW68" s="6"/>
      <c r="CX68" s="6"/>
      <c r="CY68" s="6"/>
      <c r="CZ68" s="6"/>
      <c r="DA68" s="6"/>
      <c r="DB68" s="6"/>
      <c r="DC68" s="6"/>
      <c r="DD68" s="6"/>
      <c r="DE68" s="6"/>
      <c r="DF68" s="6"/>
      <c r="DG68" s="6"/>
      <c r="DH68" s="6"/>
      <c r="DI68" s="6"/>
      <c r="DJ68" s="6"/>
      <c r="DK68" s="6"/>
      <c r="DL68" s="6"/>
      <c r="DM68" s="6"/>
      <c r="DN68" s="6"/>
      <c r="DO68" s="6"/>
      <c r="DP68" s="6"/>
      <c r="DQ68" s="6"/>
      <c r="DR68" s="6"/>
      <c r="DS68" s="6"/>
      <c r="DT68" s="6"/>
      <c r="DU68" s="6"/>
      <c r="DV68" s="6"/>
      <c r="DW68" s="6"/>
      <c r="DX68" s="6"/>
      <c r="DY68" s="6"/>
      <c r="DZ68" s="6"/>
    </row>
    <row r="69" spans="2:130" s="7" customFormat="1" x14ac:dyDescent="0.2">
      <c r="B69" s="5" t="s">
        <v>12</v>
      </c>
      <c r="C69" s="5" t="s">
        <v>15</v>
      </c>
      <c r="D69" s="8">
        <v>4568</v>
      </c>
      <c r="E69" s="8">
        <v>1126</v>
      </c>
      <c r="F69" s="8">
        <v>469</v>
      </c>
      <c r="G69" s="8">
        <v>0</v>
      </c>
      <c r="H69" s="8">
        <v>0</v>
      </c>
      <c r="I69" s="8">
        <v>0</v>
      </c>
      <c r="J69" s="8">
        <v>0</v>
      </c>
      <c r="K69" s="8">
        <v>0</v>
      </c>
      <c r="L69" s="8">
        <v>4930</v>
      </c>
      <c r="M69" s="8">
        <v>22996</v>
      </c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6"/>
      <c r="CV69" s="6"/>
      <c r="CW69" s="6"/>
      <c r="CX69" s="6"/>
      <c r="CY69" s="6"/>
      <c r="CZ69" s="6"/>
      <c r="DA69" s="6"/>
      <c r="DB69" s="6"/>
      <c r="DC69" s="6"/>
      <c r="DD69" s="6"/>
      <c r="DE69" s="6"/>
      <c r="DF69" s="6"/>
      <c r="DG69" s="6"/>
      <c r="DH69" s="6"/>
      <c r="DI69" s="6"/>
      <c r="DJ69" s="6"/>
      <c r="DK69" s="6"/>
      <c r="DL69" s="6"/>
      <c r="DM69" s="6"/>
      <c r="DN69" s="6"/>
      <c r="DO69" s="6"/>
      <c r="DP69" s="6"/>
      <c r="DQ69" s="6"/>
      <c r="DR69" s="6"/>
      <c r="DS69" s="6"/>
      <c r="DT69" s="6"/>
      <c r="DU69" s="6"/>
      <c r="DV69" s="6"/>
      <c r="DW69" s="6"/>
      <c r="DX69" s="6"/>
      <c r="DY69" s="6"/>
      <c r="DZ69" s="6"/>
    </row>
    <row r="70" spans="2:130" s="7" customFormat="1" x14ac:dyDescent="0.2">
      <c r="B70" s="5" t="s">
        <v>12</v>
      </c>
      <c r="C70" s="5" t="s">
        <v>24</v>
      </c>
      <c r="D70" s="8">
        <v>1061</v>
      </c>
      <c r="E70" s="8">
        <v>1375</v>
      </c>
      <c r="F70" s="8">
        <v>0</v>
      </c>
      <c r="G70" s="8">
        <v>0</v>
      </c>
      <c r="H70" s="8">
        <v>0</v>
      </c>
      <c r="I70" s="8">
        <v>0</v>
      </c>
      <c r="J70" s="8">
        <v>0</v>
      </c>
      <c r="K70" s="8">
        <v>0</v>
      </c>
      <c r="L70" s="8">
        <v>0</v>
      </c>
      <c r="M70" s="8">
        <v>0</v>
      </c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6"/>
      <c r="CV70" s="6"/>
      <c r="CW70" s="6"/>
      <c r="CX70" s="6"/>
      <c r="CY70" s="6"/>
      <c r="CZ70" s="6"/>
      <c r="DA70" s="6"/>
      <c r="DB70" s="6"/>
      <c r="DC70" s="6"/>
      <c r="DD70" s="6"/>
      <c r="DE70" s="6"/>
      <c r="DF70" s="6"/>
      <c r="DG70" s="6"/>
      <c r="DH70" s="6"/>
      <c r="DI70" s="6"/>
      <c r="DJ70" s="6"/>
      <c r="DK70" s="6"/>
      <c r="DL70" s="6"/>
      <c r="DM70" s="6"/>
      <c r="DN70" s="6"/>
      <c r="DO70" s="6"/>
      <c r="DP70" s="6"/>
      <c r="DQ70" s="6"/>
      <c r="DR70" s="6"/>
      <c r="DS70" s="6"/>
      <c r="DT70" s="6"/>
      <c r="DU70" s="6"/>
      <c r="DV70" s="6"/>
      <c r="DW70" s="6"/>
      <c r="DX70" s="6"/>
      <c r="DY70" s="6"/>
      <c r="DZ70" s="6"/>
    </row>
    <row r="71" spans="2:130" s="7" customFormat="1" x14ac:dyDescent="0.2">
      <c r="B71" s="5" t="s">
        <v>12</v>
      </c>
      <c r="C71" s="5" t="s">
        <v>39</v>
      </c>
      <c r="D71" s="8">
        <v>182</v>
      </c>
      <c r="E71" s="8">
        <v>36</v>
      </c>
      <c r="F71" s="8">
        <v>12</v>
      </c>
      <c r="G71" s="8">
        <v>0</v>
      </c>
      <c r="H71" s="8">
        <v>0</v>
      </c>
      <c r="I71" s="8">
        <v>0</v>
      </c>
      <c r="J71" s="8">
        <v>0</v>
      </c>
      <c r="K71" s="8">
        <v>0</v>
      </c>
      <c r="L71" s="8">
        <v>0</v>
      </c>
      <c r="M71" s="8">
        <v>0</v>
      </c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6"/>
      <c r="CV71" s="6"/>
      <c r="CW71" s="6"/>
      <c r="CX71" s="6"/>
      <c r="CY71" s="6"/>
      <c r="CZ71" s="6"/>
      <c r="DA71" s="6"/>
      <c r="DB71" s="6"/>
      <c r="DC71" s="6"/>
      <c r="DD71" s="6"/>
      <c r="DE71" s="6"/>
      <c r="DF71" s="6"/>
      <c r="DG71" s="6"/>
      <c r="DH71" s="6"/>
      <c r="DI71" s="6"/>
      <c r="DJ71" s="6"/>
      <c r="DK71" s="6"/>
      <c r="DL71" s="6"/>
      <c r="DM71" s="6"/>
      <c r="DN71" s="6"/>
      <c r="DO71" s="6"/>
      <c r="DP71" s="6"/>
      <c r="DQ71" s="6"/>
      <c r="DR71" s="6"/>
      <c r="DS71" s="6"/>
      <c r="DT71" s="6"/>
      <c r="DU71" s="6"/>
      <c r="DV71" s="6"/>
      <c r="DW71" s="6"/>
      <c r="DX71" s="6"/>
      <c r="DY71" s="6"/>
      <c r="DZ71" s="6"/>
    </row>
    <row r="72" spans="2:130" s="7" customFormat="1" x14ac:dyDescent="0.2">
      <c r="B72" s="5" t="s">
        <v>12</v>
      </c>
      <c r="C72" s="5" t="s">
        <v>28</v>
      </c>
      <c r="D72" s="8">
        <v>758</v>
      </c>
      <c r="E72" s="8">
        <v>0</v>
      </c>
      <c r="F72" s="8">
        <v>0</v>
      </c>
      <c r="G72" s="8">
        <v>0</v>
      </c>
      <c r="H72" s="8">
        <v>57</v>
      </c>
      <c r="I72" s="8">
        <v>0</v>
      </c>
      <c r="J72" s="8">
        <v>0</v>
      </c>
      <c r="K72" s="8">
        <v>0</v>
      </c>
      <c r="L72" s="8">
        <v>1995</v>
      </c>
      <c r="M72" s="8">
        <v>29544</v>
      </c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6"/>
      <c r="CV72" s="6"/>
      <c r="CW72" s="6"/>
      <c r="CX72" s="6"/>
      <c r="CY72" s="6"/>
      <c r="CZ72" s="6"/>
      <c r="DA72" s="6"/>
      <c r="DB72" s="6"/>
      <c r="DC72" s="6"/>
      <c r="DD72" s="6"/>
      <c r="DE72" s="6"/>
      <c r="DF72" s="6"/>
      <c r="DG72" s="6"/>
      <c r="DH72" s="6"/>
      <c r="DI72" s="6"/>
      <c r="DJ72" s="6"/>
      <c r="DK72" s="6"/>
      <c r="DL72" s="6"/>
      <c r="DM72" s="6"/>
      <c r="DN72" s="6"/>
      <c r="DO72" s="6"/>
      <c r="DP72" s="6"/>
      <c r="DQ72" s="6"/>
      <c r="DR72" s="6"/>
      <c r="DS72" s="6"/>
      <c r="DT72" s="6"/>
      <c r="DU72" s="6"/>
      <c r="DV72" s="6"/>
      <c r="DW72" s="6"/>
      <c r="DX72" s="6"/>
      <c r="DY72" s="6"/>
      <c r="DZ72" s="6"/>
    </row>
    <row r="73" spans="2:130" s="7" customFormat="1" x14ac:dyDescent="0.2">
      <c r="B73" s="5" t="s">
        <v>43</v>
      </c>
      <c r="C73" s="5" t="s">
        <v>15</v>
      </c>
      <c r="D73" s="8">
        <v>30</v>
      </c>
      <c r="E73" s="8">
        <v>2159</v>
      </c>
      <c r="F73" s="8">
        <v>1417</v>
      </c>
      <c r="G73" s="8">
        <v>0</v>
      </c>
      <c r="H73" s="8">
        <v>0</v>
      </c>
      <c r="I73" s="8">
        <v>0</v>
      </c>
      <c r="J73" s="8">
        <v>0</v>
      </c>
      <c r="K73" s="8">
        <v>0</v>
      </c>
      <c r="L73" s="8">
        <v>0</v>
      </c>
      <c r="M73" s="8">
        <v>0</v>
      </c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6"/>
      <c r="DC73" s="6"/>
      <c r="DD73" s="6"/>
      <c r="DE73" s="6"/>
      <c r="DF73" s="6"/>
      <c r="DG73" s="6"/>
      <c r="DH73" s="6"/>
      <c r="DI73" s="6"/>
      <c r="DJ73" s="6"/>
      <c r="DK73" s="6"/>
      <c r="DL73" s="6"/>
      <c r="DM73" s="6"/>
      <c r="DN73" s="6"/>
      <c r="DO73" s="6"/>
      <c r="DP73" s="6"/>
      <c r="DQ73" s="6"/>
      <c r="DR73" s="6"/>
      <c r="DS73" s="6"/>
      <c r="DT73" s="6"/>
      <c r="DU73" s="6"/>
      <c r="DV73" s="6"/>
      <c r="DW73" s="6"/>
      <c r="DX73" s="6"/>
      <c r="DY73" s="6"/>
      <c r="DZ73" s="6"/>
    </row>
    <row r="74" spans="2:130" s="7" customFormat="1" x14ac:dyDescent="0.2">
      <c r="B74" s="5" t="s">
        <v>43</v>
      </c>
      <c r="C74" s="5" t="s">
        <v>28</v>
      </c>
      <c r="D74" s="8">
        <v>0</v>
      </c>
      <c r="E74" s="8">
        <v>0</v>
      </c>
      <c r="F74" s="8">
        <v>0</v>
      </c>
      <c r="G74" s="8">
        <v>2</v>
      </c>
      <c r="H74" s="8">
        <v>0</v>
      </c>
      <c r="I74" s="8">
        <v>0</v>
      </c>
      <c r="J74" s="8">
        <v>0</v>
      </c>
      <c r="K74" s="8">
        <v>4</v>
      </c>
      <c r="L74" s="8">
        <v>0</v>
      </c>
      <c r="M74" s="8">
        <v>2</v>
      </c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</row>
    <row r="75" spans="2:130" s="7" customFormat="1" x14ac:dyDescent="0.2">
      <c r="B75" s="5" t="s">
        <v>38</v>
      </c>
      <c r="C75" s="5" t="s">
        <v>30</v>
      </c>
      <c r="D75" s="8">
        <v>164</v>
      </c>
      <c r="E75" s="8">
        <v>55</v>
      </c>
      <c r="F75" s="8">
        <v>36</v>
      </c>
      <c r="G75" s="8">
        <v>322</v>
      </c>
      <c r="H75" s="8">
        <v>27</v>
      </c>
      <c r="I75" s="8">
        <v>979</v>
      </c>
      <c r="J75" s="8">
        <v>0</v>
      </c>
      <c r="K75" s="8">
        <v>0</v>
      </c>
      <c r="L75" s="8">
        <v>0</v>
      </c>
      <c r="M75" s="8">
        <v>0</v>
      </c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6"/>
      <c r="DK75" s="6"/>
      <c r="DL75" s="6"/>
      <c r="DM75" s="6"/>
      <c r="DN75" s="6"/>
      <c r="DO75" s="6"/>
      <c r="DP75" s="6"/>
      <c r="DQ75" s="6"/>
      <c r="DR75" s="6"/>
      <c r="DS75" s="6"/>
      <c r="DT75" s="6"/>
      <c r="DU75" s="6"/>
      <c r="DV75" s="6"/>
      <c r="DW75" s="6"/>
      <c r="DX75" s="6"/>
      <c r="DY75" s="6"/>
      <c r="DZ75" s="6"/>
    </row>
    <row r="76" spans="2:130" s="7" customFormat="1" x14ac:dyDescent="0.2">
      <c r="B76" s="5" t="s">
        <v>4</v>
      </c>
      <c r="C76" s="5" t="s">
        <v>15</v>
      </c>
      <c r="D76" s="8">
        <v>131140</v>
      </c>
      <c r="E76" s="8">
        <v>155988</v>
      </c>
      <c r="F76" s="8">
        <v>175904</v>
      </c>
      <c r="G76" s="8">
        <v>204952</v>
      </c>
      <c r="H76" s="8">
        <v>220569</v>
      </c>
      <c r="I76" s="8">
        <v>210986</v>
      </c>
      <c r="J76" s="8">
        <v>217400</v>
      </c>
      <c r="K76" s="8">
        <v>205941</v>
      </c>
      <c r="L76" s="8">
        <v>211388</v>
      </c>
      <c r="M76" s="8">
        <v>219802</v>
      </c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6"/>
      <c r="CV76" s="6"/>
      <c r="CW76" s="6"/>
      <c r="CX76" s="6"/>
      <c r="CY76" s="6"/>
      <c r="CZ76" s="6"/>
      <c r="DA76" s="6"/>
      <c r="DB76" s="6"/>
      <c r="DC76" s="6"/>
      <c r="DD76" s="6"/>
      <c r="DE76" s="6"/>
      <c r="DF76" s="6"/>
      <c r="DG76" s="6"/>
      <c r="DH76" s="6"/>
      <c r="DI76" s="6"/>
      <c r="DJ76" s="6"/>
      <c r="DK76" s="6"/>
      <c r="DL76" s="6"/>
      <c r="DM76" s="6"/>
      <c r="DN76" s="6"/>
      <c r="DO76" s="6"/>
      <c r="DP76" s="6"/>
      <c r="DQ76" s="6"/>
      <c r="DR76" s="6"/>
      <c r="DS76" s="6"/>
      <c r="DT76" s="6"/>
      <c r="DU76" s="6"/>
      <c r="DV76" s="6"/>
      <c r="DW76" s="6"/>
      <c r="DX76" s="6"/>
      <c r="DY76" s="6"/>
      <c r="DZ76" s="6"/>
    </row>
    <row r="77" spans="2:130" s="7" customFormat="1" x14ac:dyDescent="0.2">
      <c r="B77" s="5" t="s">
        <v>4</v>
      </c>
      <c r="C77" s="5" t="s">
        <v>17</v>
      </c>
      <c r="D77" s="8">
        <v>0</v>
      </c>
      <c r="E77" s="8">
        <v>0</v>
      </c>
      <c r="F77" s="8">
        <v>1694</v>
      </c>
      <c r="G77" s="8">
        <v>13088</v>
      </c>
      <c r="H77" s="8">
        <v>11736</v>
      </c>
      <c r="I77" s="8">
        <v>12282</v>
      </c>
      <c r="J77" s="8">
        <v>7737</v>
      </c>
      <c r="K77" s="8">
        <v>0</v>
      </c>
      <c r="L77" s="8">
        <v>0</v>
      </c>
      <c r="M77" s="8">
        <v>0</v>
      </c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6"/>
      <c r="CV77" s="6"/>
      <c r="CW77" s="6"/>
      <c r="CX77" s="6"/>
      <c r="CY77" s="6"/>
      <c r="CZ77" s="6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6"/>
      <c r="DO77" s="6"/>
      <c r="DP77" s="6"/>
      <c r="DQ77" s="6"/>
      <c r="DR77" s="6"/>
      <c r="DS77" s="6"/>
      <c r="DT77" s="6"/>
      <c r="DU77" s="6"/>
      <c r="DV77" s="6"/>
      <c r="DW77" s="6"/>
      <c r="DX77" s="6"/>
      <c r="DY77" s="6"/>
      <c r="DZ77" s="6"/>
    </row>
    <row r="78" spans="2:130" s="7" customFormat="1" x14ac:dyDescent="0.2">
      <c r="B78" s="5" t="s">
        <v>4</v>
      </c>
      <c r="C78" s="5" t="s">
        <v>24</v>
      </c>
      <c r="D78" s="8">
        <v>0</v>
      </c>
      <c r="E78" s="8">
        <v>10</v>
      </c>
      <c r="F78" s="8">
        <v>30</v>
      </c>
      <c r="G78" s="8">
        <v>0</v>
      </c>
      <c r="H78" s="8">
        <v>0</v>
      </c>
      <c r="I78" s="8">
        <v>0</v>
      </c>
      <c r="J78" s="8">
        <v>0</v>
      </c>
      <c r="K78" s="8">
        <v>0</v>
      </c>
      <c r="L78" s="8">
        <v>0</v>
      </c>
      <c r="M78" s="8">
        <v>0</v>
      </c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6"/>
      <c r="CV78" s="6"/>
      <c r="CW78" s="6"/>
      <c r="CX78" s="6"/>
      <c r="CY78" s="6"/>
      <c r="CZ78" s="6"/>
      <c r="DA78" s="6"/>
      <c r="DB78" s="6"/>
      <c r="DC78" s="6"/>
      <c r="DD78" s="6"/>
      <c r="DE78" s="6"/>
      <c r="DF78" s="6"/>
      <c r="DG78" s="6"/>
      <c r="DH78" s="6"/>
      <c r="DI78" s="6"/>
      <c r="DJ78" s="6"/>
      <c r="DK78" s="6"/>
      <c r="DL78" s="6"/>
      <c r="DM78" s="6"/>
      <c r="DN78" s="6"/>
      <c r="DO78" s="6"/>
      <c r="DP78" s="6"/>
      <c r="DQ78" s="6"/>
      <c r="DR78" s="6"/>
      <c r="DS78" s="6"/>
      <c r="DT78" s="6"/>
      <c r="DU78" s="6"/>
      <c r="DV78" s="6"/>
      <c r="DW78" s="6"/>
      <c r="DX78" s="6"/>
      <c r="DY78" s="6"/>
      <c r="DZ78" s="6"/>
    </row>
    <row r="79" spans="2:130" s="7" customFormat="1" x14ac:dyDescent="0.2">
      <c r="B79" s="5" t="s">
        <v>4</v>
      </c>
      <c r="C79" s="5" t="s">
        <v>27</v>
      </c>
      <c r="D79" s="8">
        <v>4</v>
      </c>
      <c r="E79" s="8">
        <v>615</v>
      </c>
      <c r="F79" s="8">
        <v>2587</v>
      </c>
      <c r="G79" s="8">
        <v>948</v>
      </c>
      <c r="H79" s="8">
        <v>0</v>
      </c>
      <c r="I79" s="8">
        <v>0</v>
      </c>
      <c r="J79" s="8">
        <v>0</v>
      </c>
      <c r="K79" s="8">
        <v>0</v>
      </c>
      <c r="L79" s="8">
        <v>0</v>
      </c>
      <c r="M79" s="8">
        <v>0</v>
      </c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6"/>
      <c r="CW79" s="6"/>
      <c r="CX79" s="6"/>
      <c r="CY79" s="6"/>
      <c r="CZ79" s="6"/>
      <c r="DA79" s="6"/>
      <c r="DB79" s="6"/>
      <c r="DC79" s="6"/>
      <c r="DD79" s="6"/>
      <c r="DE79" s="6"/>
      <c r="DF79" s="6"/>
      <c r="DG79" s="6"/>
      <c r="DH79" s="6"/>
      <c r="DI79" s="6"/>
      <c r="DJ79" s="6"/>
      <c r="DK79" s="6"/>
      <c r="DL79" s="6"/>
      <c r="DM79" s="6"/>
      <c r="DN79" s="6"/>
      <c r="DO79" s="6"/>
      <c r="DP79" s="6"/>
      <c r="DQ79" s="6"/>
      <c r="DR79" s="6"/>
      <c r="DS79" s="6"/>
      <c r="DT79" s="6"/>
      <c r="DU79" s="6"/>
      <c r="DV79" s="6"/>
      <c r="DW79" s="6"/>
      <c r="DX79" s="6"/>
      <c r="DY79" s="6"/>
      <c r="DZ79" s="6"/>
    </row>
    <row r="80" spans="2:130" s="7" customFormat="1" x14ac:dyDescent="0.2">
      <c r="B80" s="5" t="s">
        <v>4</v>
      </c>
      <c r="C80" s="5" t="s">
        <v>28</v>
      </c>
      <c r="D80" s="8">
        <v>141657</v>
      </c>
      <c r="E80" s="8">
        <v>149608</v>
      </c>
      <c r="F80" s="8">
        <v>187077</v>
      </c>
      <c r="G80" s="8">
        <v>193305</v>
      </c>
      <c r="H80" s="8">
        <v>205579</v>
      </c>
      <c r="I80" s="8">
        <v>205786</v>
      </c>
      <c r="J80" s="8">
        <v>233716</v>
      </c>
      <c r="K80" s="8">
        <v>224281</v>
      </c>
      <c r="L80" s="8">
        <v>262492</v>
      </c>
      <c r="M80" s="8">
        <v>283223</v>
      </c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6"/>
      <c r="CV80" s="6"/>
      <c r="CW80" s="6"/>
      <c r="CX80" s="6"/>
      <c r="CY80" s="6"/>
      <c r="CZ80" s="6"/>
      <c r="DA80" s="6"/>
      <c r="DB80" s="6"/>
      <c r="DC80" s="6"/>
      <c r="DD80" s="6"/>
      <c r="DE80" s="6"/>
      <c r="DF80" s="6"/>
      <c r="DG80" s="6"/>
      <c r="DH80" s="6"/>
      <c r="DI80" s="6"/>
      <c r="DJ80" s="6"/>
      <c r="DK80" s="6"/>
      <c r="DL80" s="6"/>
      <c r="DM80" s="6"/>
      <c r="DN80" s="6"/>
      <c r="DO80" s="6"/>
      <c r="DP80" s="6"/>
      <c r="DQ80" s="6"/>
      <c r="DR80" s="6"/>
      <c r="DS80" s="6"/>
      <c r="DT80" s="6"/>
      <c r="DU80" s="6"/>
      <c r="DV80" s="6"/>
      <c r="DW80" s="6"/>
      <c r="DX80" s="6"/>
      <c r="DY80" s="6"/>
      <c r="DZ80" s="6"/>
    </row>
    <row r="81" spans="2:130" s="7" customFormat="1" x14ac:dyDescent="0.2">
      <c r="B81" s="5" t="s">
        <v>4</v>
      </c>
      <c r="C81" s="5" t="s">
        <v>29</v>
      </c>
      <c r="D81" s="8">
        <v>11859</v>
      </c>
      <c r="E81" s="8">
        <v>12698</v>
      </c>
      <c r="F81" s="8">
        <v>13448</v>
      </c>
      <c r="G81" s="8">
        <v>3477</v>
      </c>
      <c r="H81" s="8">
        <v>99</v>
      </c>
      <c r="I81" s="8">
        <v>0</v>
      </c>
      <c r="J81" s="8">
        <v>108</v>
      </c>
      <c r="K81" s="8">
        <v>6</v>
      </c>
      <c r="L81" s="8">
        <v>0</v>
      </c>
      <c r="M81" s="8">
        <v>0</v>
      </c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  <c r="CY81" s="6"/>
      <c r="CZ81" s="6"/>
      <c r="DA81" s="6"/>
      <c r="DB81" s="6"/>
      <c r="DC81" s="6"/>
      <c r="DD81" s="6"/>
      <c r="DE81" s="6"/>
      <c r="DF81" s="6"/>
      <c r="DG81" s="6"/>
      <c r="DH81" s="6"/>
      <c r="DI81" s="6"/>
      <c r="DJ81" s="6"/>
      <c r="DK81" s="6"/>
      <c r="DL81" s="6"/>
      <c r="DM81" s="6"/>
      <c r="DN81" s="6"/>
      <c r="DO81" s="6"/>
      <c r="DP81" s="6"/>
      <c r="DQ81" s="6"/>
      <c r="DR81" s="6"/>
      <c r="DS81" s="6"/>
      <c r="DT81" s="6"/>
      <c r="DU81" s="6"/>
      <c r="DV81" s="6"/>
      <c r="DW81" s="6"/>
      <c r="DX81" s="6"/>
      <c r="DY81" s="6"/>
      <c r="DZ81" s="6"/>
    </row>
    <row r="82" spans="2:130" s="7" customFormat="1" x14ac:dyDescent="0.2">
      <c r="B82" s="5" t="s">
        <v>4</v>
      </c>
      <c r="C82" s="5" t="s">
        <v>30</v>
      </c>
      <c r="D82" s="8">
        <v>8</v>
      </c>
      <c r="E82" s="8">
        <v>35</v>
      </c>
      <c r="F82" s="8">
        <v>60</v>
      </c>
      <c r="G82" s="8">
        <v>71</v>
      </c>
      <c r="H82" s="8">
        <v>0</v>
      </c>
      <c r="I82" s="8">
        <v>0</v>
      </c>
      <c r="J82" s="8">
        <v>0</v>
      </c>
      <c r="K82" s="8">
        <v>0</v>
      </c>
      <c r="L82" s="8">
        <v>0</v>
      </c>
      <c r="M82" s="8">
        <v>0</v>
      </c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6"/>
      <c r="CV82" s="6"/>
      <c r="CW82" s="6"/>
      <c r="CX82" s="6"/>
      <c r="CY82" s="6"/>
      <c r="CZ82" s="6"/>
      <c r="DA82" s="6"/>
      <c r="DB82" s="6"/>
      <c r="DC82" s="6"/>
      <c r="DD82" s="6"/>
      <c r="DE82" s="6"/>
      <c r="DF82" s="6"/>
      <c r="DG82" s="6"/>
      <c r="DH82" s="6"/>
      <c r="DI82" s="6"/>
      <c r="DJ82" s="6"/>
      <c r="DK82" s="6"/>
      <c r="DL82" s="6"/>
      <c r="DM82" s="6"/>
      <c r="DN82" s="6"/>
      <c r="DO82" s="6"/>
      <c r="DP82" s="6"/>
      <c r="DQ82" s="6"/>
      <c r="DR82" s="6"/>
      <c r="DS82" s="6"/>
      <c r="DT82" s="6"/>
      <c r="DU82" s="6"/>
      <c r="DV82" s="6"/>
      <c r="DW82" s="6"/>
      <c r="DX82" s="6"/>
      <c r="DY82" s="6"/>
      <c r="DZ82" s="6"/>
    </row>
    <row r="83" spans="2:130" s="7" customFormat="1" x14ac:dyDescent="0.2">
      <c r="B83" s="5" t="s">
        <v>5</v>
      </c>
      <c r="C83" s="5" t="s">
        <v>27</v>
      </c>
      <c r="D83" s="8">
        <v>0</v>
      </c>
      <c r="E83" s="8">
        <v>0</v>
      </c>
      <c r="F83" s="8">
        <v>3</v>
      </c>
      <c r="G83" s="8">
        <v>0</v>
      </c>
      <c r="H83" s="8">
        <v>0</v>
      </c>
      <c r="I83" s="8">
        <v>0</v>
      </c>
      <c r="J83" s="8">
        <v>0</v>
      </c>
      <c r="K83" s="8">
        <v>1</v>
      </c>
      <c r="L83" s="8">
        <v>0</v>
      </c>
      <c r="M83" s="8">
        <v>4</v>
      </c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6"/>
      <c r="CW83" s="6"/>
      <c r="CX83" s="6"/>
      <c r="CY83" s="6"/>
      <c r="CZ83" s="6"/>
      <c r="DA83" s="6"/>
      <c r="DB83" s="6"/>
      <c r="DC83" s="6"/>
      <c r="DD83" s="6"/>
      <c r="DE83" s="6"/>
      <c r="DF83" s="6"/>
      <c r="DG83" s="6"/>
      <c r="DH83" s="6"/>
      <c r="DI83" s="6"/>
      <c r="DJ83" s="6"/>
      <c r="DK83" s="6"/>
      <c r="DL83" s="6"/>
      <c r="DM83" s="6"/>
      <c r="DN83" s="6"/>
      <c r="DO83" s="6"/>
      <c r="DP83" s="6"/>
      <c r="DQ83" s="6"/>
      <c r="DR83" s="6"/>
      <c r="DS83" s="6"/>
      <c r="DT83" s="6"/>
      <c r="DU83" s="6"/>
      <c r="DV83" s="6"/>
      <c r="DW83" s="6"/>
      <c r="DX83" s="6"/>
      <c r="DY83" s="6"/>
      <c r="DZ83" s="6"/>
    </row>
    <row r="84" spans="2:130" s="7" customFormat="1" x14ac:dyDescent="0.2">
      <c r="B84" s="5" t="s">
        <v>5</v>
      </c>
      <c r="C84" s="5" t="s">
        <v>28</v>
      </c>
      <c r="D84" s="8">
        <v>8908</v>
      </c>
      <c r="E84" s="8">
        <v>12300</v>
      </c>
      <c r="F84" s="8">
        <v>10810</v>
      </c>
      <c r="G84" s="8">
        <v>7011</v>
      </c>
      <c r="H84" s="8">
        <v>6640</v>
      </c>
      <c r="I84" s="8">
        <v>2719</v>
      </c>
      <c r="J84" s="8">
        <v>6008</v>
      </c>
      <c r="K84" s="8">
        <v>7432</v>
      </c>
      <c r="L84" s="8">
        <v>8659</v>
      </c>
      <c r="M84" s="8">
        <v>10050</v>
      </c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6"/>
      <c r="CV84" s="6"/>
      <c r="CW84" s="6"/>
      <c r="CX84" s="6"/>
      <c r="CY84" s="6"/>
      <c r="CZ84" s="6"/>
      <c r="DA84" s="6"/>
      <c r="DB84" s="6"/>
      <c r="DC84" s="6"/>
      <c r="DD84" s="6"/>
      <c r="DE84" s="6"/>
      <c r="DF84" s="6"/>
      <c r="DG84" s="6"/>
      <c r="DH84" s="6"/>
      <c r="DI84" s="6"/>
      <c r="DJ84" s="6"/>
      <c r="DK84" s="6"/>
      <c r="DL84" s="6"/>
      <c r="DM84" s="6"/>
      <c r="DN84" s="6"/>
      <c r="DO84" s="6"/>
      <c r="DP84" s="6"/>
      <c r="DQ84" s="6"/>
      <c r="DR84" s="6"/>
      <c r="DS84" s="6"/>
      <c r="DT84" s="6"/>
      <c r="DU84" s="6"/>
      <c r="DV84" s="6"/>
      <c r="DW84" s="6"/>
      <c r="DX84" s="6"/>
      <c r="DY84" s="6"/>
      <c r="DZ84" s="6"/>
    </row>
    <row r="85" spans="2:130" s="7" customFormat="1" x14ac:dyDescent="0.2">
      <c r="B85" s="5" t="s">
        <v>6</v>
      </c>
      <c r="C85" s="5" t="s">
        <v>31</v>
      </c>
      <c r="D85" s="8">
        <v>2110</v>
      </c>
      <c r="E85" s="8">
        <v>2949</v>
      </c>
      <c r="F85" s="8">
        <v>2997</v>
      </c>
      <c r="G85" s="8">
        <v>5001</v>
      </c>
      <c r="H85" s="8">
        <v>4150</v>
      </c>
      <c r="I85" s="8">
        <v>5214</v>
      </c>
      <c r="J85" s="8">
        <v>6838</v>
      </c>
      <c r="K85" s="8">
        <v>8607</v>
      </c>
      <c r="L85" s="8">
        <v>8344</v>
      </c>
      <c r="M85" s="8">
        <v>10597</v>
      </c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6"/>
      <c r="CV85" s="6"/>
      <c r="CW85" s="6"/>
      <c r="CX85" s="6"/>
      <c r="CY85" s="6"/>
      <c r="CZ85" s="6"/>
      <c r="DA85" s="6"/>
      <c r="DB85" s="6"/>
      <c r="DC85" s="6"/>
      <c r="DD85" s="6"/>
      <c r="DE85" s="6"/>
      <c r="DF85" s="6"/>
      <c r="DG85" s="6"/>
      <c r="DH85" s="6"/>
      <c r="DI85" s="6"/>
      <c r="DJ85" s="6"/>
      <c r="DK85" s="6"/>
      <c r="DL85" s="6"/>
      <c r="DM85" s="6"/>
      <c r="DN85" s="6"/>
      <c r="DO85" s="6"/>
      <c r="DP85" s="6"/>
      <c r="DQ85" s="6"/>
      <c r="DR85" s="6"/>
      <c r="DS85" s="6"/>
      <c r="DT85" s="6"/>
      <c r="DU85" s="6"/>
      <c r="DV85" s="6"/>
      <c r="DW85" s="6"/>
      <c r="DX85" s="6"/>
      <c r="DY85" s="6"/>
      <c r="DZ85" s="6"/>
    </row>
    <row r="86" spans="2:130" s="7" customFormat="1" x14ac:dyDescent="0.2">
      <c r="B86" s="5" t="s">
        <v>6</v>
      </c>
      <c r="C86" s="5" t="s">
        <v>32</v>
      </c>
      <c r="D86" s="8">
        <v>31</v>
      </c>
      <c r="E86" s="8">
        <v>38</v>
      </c>
      <c r="F86" s="8">
        <v>57</v>
      </c>
      <c r="G86" s="8">
        <v>34</v>
      </c>
      <c r="H86" s="8">
        <v>3</v>
      </c>
      <c r="I86" s="8">
        <v>59</v>
      </c>
      <c r="J86" s="8">
        <v>11</v>
      </c>
      <c r="K86" s="8">
        <v>242</v>
      </c>
      <c r="L86" s="8">
        <v>586</v>
      </c>
      <c r="M86" s="8">
        <v>512</v>
      </c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  <c r="CX86" s="6"/>
      <c r="CY86" s="6"/>
      <c r="CZ86" s="6"/>
      <c r="DA86" s="6"/>
      <c r="DB86" s="6"/>
      <c r="DC86" s="6"/>
      <c r="DD86" s="6"/>
      <c r="DE86" s="6"/>
      <c r="DF86" s="6"/>
      <c r="DG86" s="6"/>
      <c r="DH86" s="6"/>
      <c r="DI86" s="6"/>
      <c r="DJ86" s="6"/>
      <c r="DK86" s="6"/>
      <c r="DL86" s="6"/>
      <c r="DM86" s="6"/>
      <c r="DN86" s="6"/>
      <c r="DO86" s="6"/>
      <c r="DP86" s="6"/>
      <c r="DQ86" s="6"/>
      <c r="DR86" s="6"/>
      <c r="DS86" s="6"/>
      <c r="DT86" s="6"/>
      <c r="DU86" s="6"/>
      <c r="DV86" s="6"/>
      <c r="DW86" s="6"/>
      <c r="DX86" s="6"/>
      <c r="DY86" s="6"/>
      <c r="DZ86" s="6"/>
    </row>
    <row r="87" spans="2:130" s="7" customFormat="1" x14ac:dyDescent="0.2">
      <c r="B87" s="5" t="s">
        <v>6</v>
      </c>
      <c r="C87" s="5" t="s">
        <v>44</v>
      </c>
      <c r="D87" s="8">
        <v>41</v>
      </c>
      <c r="E87" s="8">
        <v>0</v>
      </c>
      <c r="F87" s="8">
        <v>0</v>
      </c>
      <c r="G87" s="8">
        <v>27</v>
      </c>
      <c r="H87" s="8">
        <v>0</v>
      </c>
      <c r="I87" s="8">
        <v>0</v>
      </c>
      <c r="J87" s="8">
        <v>0</v>
      </c>
      <c r="K87" s="8">
        <v>0</v>
      </c>
      <c r="L87" s="8">
        <v>0</v>
      </c>
      <c r="M87" s="8">
        <v>0</v>
      </c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6"/>
      <c r="CW87" s="6"/>
      <c r="CX87" s="6"/>
      <c r="CY87" s="6"/>
      <c r="CZ87" s="6"/>
      <c r="DA87" s="6"/>
      <c r="DB87" s="6"/>
      <c r="DC87" s="6"/>
      <c r="DD87" s="6"/>
      <c r="DE87" s="6"/>
      <c r="DF87" s="6"/>
      <c r="DG87" s="6"/>
      <c r="DH87" s="6"/>
      <c r="DI87" s="6"/>
      <c r="DJ87" s="6"/>
      <c r="DK87" s="6"/>
      <c r="DL87" s="6"/>
      <c r="DM87" s="6"/>
      <c r="DN87" s="6"/>
      <c r="DO87" s="6"/>
      <c r="DP87" s="6"/>
      <c r="DQ87" s="6"/>
      <c r="DR87" s="6"/>
      <c r="DS87" s="6"/>
      <c r="DT87" s="6"/>
      <c r="DU87" s="6"/>
      <c r="DV87" s="6"/>
      <c r="DW87" s="6"/>
      <c r="DX87" s="6"/>
      <c r="DY87" s="6"/>
      <c r="DZ87" s="6"/>
    </row>
    <row r="88" spans="2:130" s="7" customFormat="1" x14ac:dyDescent="0.2">
      <c r="B88" s="5" t="s">
        <v>6</v>
      </c>
      <c r="C88" s="5" t="s">
        <v>45</v>
      </c>
      <c r="D88" s="8">
        <v>972</v>
      </c>
      <c r="E88" s="8">
        <v>318</v>
      </c>
      <c r="F88" s="8">
        <v>27</v>
      </c>
      <c r="G88" s="8">
        <v>79</v>
      </c>
      <c r="H88" s="8">
        <v>15</v>
      </c>
      <c r="I88" s="8">
        <v>0</v>
      </c>
      <c r="J88" s="8">
        <v>0</v>
      </c>
      <c r="K88" s="8">
        <v>25</v>
      </c>
      <c r="L88" s="8">
        <v>0</v>
      </c>
      <c r="M88" s="8">
        <v>0</v>
      </c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6"/>
      <c r="CV88" s="6"/>
      <c r="CW88" s="6"/>
      <c r="CX88" s="6"/>
      <c r="CY88" s="6"/>
      <c r="CZ88" s="6"/>
      <c r="DA88" s="6"/>
      <c r="DB88" s="6"/>
      <c r="DC88" s="6"/>
      <c r="DD88" s="6"/>
      <c r="DE88" s="6"/>
      <c r="DF88" s="6"/>
      <c r="DG88" s="6"/>
      <c r="DH88" s="6"/>
      <c r="DI88" s="6"/>
      <c r="DJ88" s="6"/>
      <c r="DK88" s="6"/>
      <c r="DL88" s="6"/>
      <c r="DM88" s="6"/>
      <c r="DN88" s="6"/>
      <c r="DO88" s="6"/>
      <c r="DP88" s="6"/>
      <c r="DQ88" s="6"/>
      <c r="DR88" s="6"/>
      <c r="DS88" s="6"/>
      <c r="DT88" s="6"/>
      <c r="DU88" s="6"/>
      <c r="DV88" s="6"/>
      <c r="DW88" s="6"/>
      <c r="DX88" s="6"/>
      <c r="DY88" s="6"/>
      <c r="DZ88" s="6"/>
    </row>
    <row r="89" spans="2:130" s="7" customFormat="1" x14ac:dyDescent="0.2">
      <c r="B89" s="5" t="s">
        <v>6</v>
      </c>
      <c r="C89" s="5" t="s">
        <v>46</v>
      </c>
      <c r="D89" s="8">
        <v>0</v>
      </c>
      <c r="E89" s="8">
        <v>0</v>
      </c>
      <c r="F89" s="8">
        <v>215</v>
      </c>
      <c r="G89" s="8">
        <v>0</v>
      </c>
      <c r="H89" s="8">
        <v>0</v>
      </c>
      <c r="I89" s="8">
        <v>0</v>
      </c>
      <c r="J89" s="8">
        <v>0</v>
      </c>
      <c r="K89" s="8">
        <v>0</v>
      </c>
      <c r="L89" s="8">
        <v>0</v>
      </c>
      <c r="M89" s="8">
        <v>0</v>
      </c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6"/>
      <c r="CV89" s="6"/>
      <c r="CW89" s="6"/>
      <c r="CX89" s="6"/>
      <c r="CY89" s="6"/>
      <c r="CZ89" s="6"/>
      <c r="DA89" s="6"/>
      <c r="DB89" s="6"/>
      <c r="DC89" s="6"/>
      <c r="DD89" s="6"/>
      <c r="DE89" s="6"/>
      <c r="DF89" s="6"/>
      <c r="DG89" s="6"/>
      <c r="DH89" s="6"/>
      <c r="DI89" s="6"/>
      <c r="DJ89" s="6"/>
      <c r="DK89" s="6"/>
      <c r="DL89" s="6"/>
      <c r="DM89" s="6"/>
      <c r="DN89" s="6"/>
      <c r="DO89" s="6"/>
      <c r="DP89" s="6"/>
      <c r="DQ89" s="6"/>
      <c r="DR89" s="6"/>
      <c r="DS89" s="6"/>
      <c r="DT89" s="6"/>
      <c r="DU89" s="6"/>
      <c r="DV89" s="6"/>
      <c r="DW89" s="6"/>
      <c r="DX89" s="6"/>
      <c r="DY89" s="6"/>
      <c r="DZ89" s="6"/>
    </row>
    <row r="90" spans="2:130" s="7" customFormat="1" x14ac:dyDescent="0.2">
      <c r="B90" s="5" t="s">
        <v>6</v>
      </c>
      <c r="C90" s="5" t="s">
        <v>33</v>
      </c>
      <c r="D90" s="8">
        <v>12897</v>
      </c>
      <c r="E90" s="8">
        <v>12892</v>
      </c>
      <c r="F90" s="8">
        <v>12860</v>
      </c>
      <c r="G90" s="8">
        <v>13667</v>
      </c>
      <c r="H90" s="8">
        <v>12622</v>
      </c>
      <c r="I90" s="8">
        <v>13398</v>
      </c>
      <c r="J90" s="8">
        <v>13920</v>
      </c>
      <c r="K90" s="8">
        <v>14345</v>
      </c>
      <c r="L90" s="8">
        <v>13380</v>
      </c>
      <c r="M90" s="8">
        <v>12682</v>
      </c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6"/>
      <c r="CV90" s="6"/>
      <c r="CW90" s="6"/>
      <c r="CX90" s="6"/>
      <c r="CY90" s="6"/>
      <c r="CZ90" s="6"/>
      <c r="DA90" s="6"/>
      <c r="DB90" s="6"/>
      <c r="DC90" s="6"/>
      <c r="DD90" s="6"/>
      <c r="DE90" s="6"/>
      <c r="DF90" s="6"/>
      <c r="DG90" s="6"/>
      <c r="DH90" s="6"/>
      <c r="DI90" s="6"/>
      <c r="DJ90" s="6"/>
      <c r="DK90" s="6"/>
      <c r="DL90" s="6"/>
      <c r="DM90" s="6"/>
      <c r="DN90" s="6"/>
      <c r="DO90" s="6"/>
      <c r="DP90" s="6"/>
      <c r="DQ90" s="6"/>
      <c r="DR90" s="6"/>
      <c r="DS90" s="6"/>
      <c r="DT90" s="6"/>
      <c r="DU90" s="6"/>
      <c r="DV90" s="6"/>
      <c r="DW90" s="6"/>
      <c r="DX90" s="6"/>
      <c r="DY90" s="6"/>
      <c r="DZ90" s="6"/>
    </row>
    <row r="91" spans="2:130" s="7" customFormat="1" x14ac:dyDescent="0.2">
      <c r="B91" s="5" t="s">
        <v>6</v>
      </c>
      <c r="C91" s="5" t="s">
        <v>27</v>
      </c>
      <c r="D91" s="8">
        <v>2834</v>
      </c>
      <c r="E91" s="8">
        <v>3692</v>
      </c>
      <c r="F91" s="8">
        <v>3505</v>
      </c>
      <c r="G91" s="8">
        <v>3414</v>
      </c>
      <c r="H91" s="8">
        <v>1826</v>
      </c>
      <c r="I91" s="8">
        <v>2373</v>
      </c>
      <c r="J91" s="8">
        <v>1760</v>
      </c>
      <c r="K91" s="8">
        <v>2702</v>
      </c>
      <c r="L91" s="8">
        <v>2666</v>
      </c>
      <c r="M91" s="8">
        <v>2275</v>
      </c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  <c r="CX91" s="6"/>
      <c r="CY91" s="6"/>
      <c r="CZ91" s="6"/>
      <c r="DA91" s="6"/>
      <c r="DB91" s="6"/>
      <c r="DC91" s="6"/>
      <c r="DD91" s="6"/>
      <c r="DE91" s="6"/>
      <c r="DF91" s="6"/>
      <c r="DG91" s="6"/>
      <c r="DH91" s="6"/>
      <c r="DI91" s="6"/>
      <c r="DJ91" s="6"/>
      <c r="DK91" s="6"/>
      <c r="DL91" s="6"/>
      <c r="DM91" s="6"/>
      <c r="DN91" s="6"/>
      <c r="DO91" s="6"/>
      <c r="DP91" s="6"/>
      <c r="DQ91" s="6"/>
      <c r="DR91" s="6"/>
      <c r="DS91" s="6"/>
      <c r="DT91" s="6"/>
      <c r="DU91" s="6"/>
      <c r="DV91" s="6"/>
      <c r="DW91" s="6"/>
      <c r="DX91" s="6"/>
      <c r="DY91" s="6"/>
      <c r="DZ91" s="6"/>
    </row>
    <row r="92" spans="2:130" s="7" customFormat="1" x14ac:dyDescent="0.2">
      <c r="B92" s="5" t="s">
        <v>6</v>
      </c>
      <c r="C92" s="5" t="s">
        <v>34</v>
      </c>
      <c r="D92" s="8">
        <v>12205</v>
      </c>
      <c r="E92" s="8">
        <v>14319</v>
      </c>
      <c r="F92" s="8">
        <v>13203</v>
      </c>
      <c r="G92" s="8">
        <v>15085</v>
      </c>
      <c r="H92" s="8">
        <v>17796</v>
      </c>
      <c r="I92" s="8">
        <v>23932</v>
      </c>
      <c r="J92" s="8">
        <v>25717</v>
      </c>
      <c r="K92" s="8">
        <v>27595</v>
      </c>
      <c r="L92" s="8">
        <v>34699</v>
      </c>
      <c r="M92" s="8">
        <v>36916</v>
      </c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6"/>
      <c r="CW92" s="6"/>
      <c r="CX92" s="6"/>
      <c r="CY92" s="6"/>
      <c r="CZ92" s="6"/>
      <c r="DA92" s="6"/>
      <c r="DB92" s="6"/>
      <c r="DC92" s="6"/>
      <c r="DD92" s="6"/>
      <c r="DE92" s="6"/>
      <c r="DF92" s="6"/>
      <c r="DG92" s="6"/>
      <c r="DH92" s="6"/>
      <c r="DI92" s="6"/>
      <c r="DJ92" s="6"/>
      <c r="DK92" s="6"/>
      <c r="DL92" s="6"/>
      <c r="DM92" s="6"/>
      <c r="DN92" s="6"/>
      <c r="DO92" s="6"/>
      <c r="DP92" s="6"/>
      <c r="DQ92" s="6"/>
      <c r="DR92" s="6"/>
      <c r="DS92" s="6"/>
      <c r="DT92" s="6"/>
      <c r="DU92" s="6"/>
      <c r="DV92" s="6"/>
      <c r="DW92" s="6"/>
      <c r="DX92" s="6"/>
      <c r="DY92" s="6"/>
      <c r="DZ92" s="6"/>
    </row>
    <row r="93" spans="2:130" s="7" customFormat="1" x14ac:dyDescent="0.2">
      <c r="B93" s="5" t="s">
        <v>6</v>
      </c>
      <c r="C93" s="5" t="s">
        <v>47</v>
      </c>
      <c r="D93" s="8">
        <v>0</v>
      </c>
      <c r="E93" s="8">
        <v>0</v>
      </c>
      <c r="F93" s="8">
        <v>0</v>
      </c>
      <c r="G93" s="8">
        <v>0</v>
      </c>
      <c r="H93" s="8">
        <v>0</v>
      </c>
      <c r="I93" s="8">
        <v>0</v>
      </c>
      <c r="J93" s="8">
        <v>0</v>
      </c>
      <c r="K93" s="8">
        <v>0</v>
      </c>
      <c r="L93" s="8">
        <v>0</v>
      </c>
      <c r="M93" s="8">
        <v>2</v>
      </c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6"/>
      <c r="CW93" s="6"/>
      <c r="CX93" s="6"/>
      <c r="CY93" s="6"/>
      <c r="CZ93" s="6"/>
      <c r="DA93" s="6"/>
      <c r="DB93" s="6"/>
      <c r="DC93" s="6"/>
      <c r="DD93" s="6"/>
      <c r="DE93" s="6"/>
      <c r="DF93" s="6"/>
      <c r="DG93" s="6"/>
      <c r="DH93" s="6"/>
      <c r="DI93" s="6"/>
      <c r="DJ93" s="6"/>
      <c r="DK93" s="6"/>
      <c r="DL93" s="6"/>
      <c r="DM93" s="6"/>
      <c r="DN93" s="6"/>
      <c r="DO93" s="6"/>
      <c r="DP93" s="6"/>
      <c r="DQ93" s="6"/>
      <c r="DR93" s="6"/>
      <c r="DS93" s="6"/>
      <c r="DT93" s="6"/>
      <c r="DU93" s="6"/>
      <c r="DV93" s="6"/>
      <c r="DW93" s="6"/>
      <c r="DX93" s="6"/>
      <c r="DY93" s="6"/>
      <c r="DZ93" s="6"/>
    </row>
    <row r="94" spans="2:130" s="7" customFormat="1" x14ac:dyDescent="0.2">
      <c r="B94" s="5" t="s">
        <v>6</v>
      </c>
      <c r="C94" s="5" t="s">
        <v>37</v>
      </c>
      <c r="D94" s="8">
        <v>225</v>
      </c>
      <c r="E94" s="8">
        <v>55</v>
      </c>
      <c r="F94" s="8">
        <v>25</v>
      </c>
      <c r="G94" s="8">
        <v>15</v>
      </c>
      <c r="H94" s="8">
        <v>0</v>
      </c>
      <c r="I94" s="8">
        <v>6</v>
      </c>
      <c r="J94" s="8">
        <v>27</v>
      </c>
      <c r="K94" s="8">
        <v>18</v>
      </c>
      <c r="L94" s="8">
        <v>11</v>
      </c>
      <c r="M94" s="8">
        <v>4</v>
      </c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6"/>
      <c r="CV94" s="6"/>
      <c r="CW94" s="6"/>
      <c r="CX94" s="6"/>
      <c r="CY94" s="6"/>
      <c r="CZ94" s="6"/>
      <c r="DA94" s="6"/>
      <c r="DB94" s="6"/>
      <c r="DC94" s="6"/>
      <c r="DD94" s="6"/>
      <c r="DE94" s="6"/>
      <c r="DF94" s="6"/>
      <c r="DG94" s="6"/>
      <c r="DH94" s="6"/>
      <c r="DI94" s="6"/>
      <c r="DJ94" s="6"/>
      <c r="DK94" s="6"/>
      <c r="DL94" s="6"/>
      <c r="DM94" s="6"/>
      <c r="DN94" s="6"/>
      <c r="DO94" s="6"/>
      <c r="DP94" s="6"/>
      <c r="DQ94" s="6"/>
      <c r="DR94" s="6"/>
      <c r="DS94" s="6"/>
      <c r="DT94" s="6"/>
      <c r="DU94" s="6"/>
      <c r="DV94" s="6"/>
      <c r="DW94" s="6"/>
      <c r="DX94" s="6"/>
      <c r="DY94" s="6"/>
      <c r="DZ94" s="6"/>
    </row>
    <row r="95" spans="2:130" s="7" customFormat="1" x14ac:dyDescent="0.2">
      <c r="B95" s="5" t="s">
        <v>6</v>
      </c>
      <c r="C95" s="5" t="s">
        <v>37</v>
      </c>
      <c r="D95" s="8">
        <v>0</v>
      </c>
      <c r="E95" s="8">
        <v>0</v>
      </c>
      <c r="F95" s="8">
        <v>0</v>
      </c>
      <c r="G95" s="8">
        <v>0</v>
      </c>
      <c r="H95" s="8">
        <v>0</v>
      </c>
      <c r="I95" s="8">
        <v>0</v>
      </c>
      <c r="J95" s="8">
        <v>0</v>
      </c>
      <c r="K95" s="8">
        <v>12</v>
      </c>
      <c r="L95" s="8">
        <v>0</v>
      </c>
      <c r="M95" s="8">
        <v>12</v>
      </c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  <c r="CX95" s="6"/>
      <c r="CY95" s="6"/>
      <c r="CZ95" s="6"/>
      <c r="DA95" s="6"/>
      <c r="DB95" s="6"/>
      <c r="DC95" s="6"/>
      <c r="DD95" s="6"/>
      <c r="DE95" s="6"/>
      <c r="DF95" s="6"/>
      <c r="DG95" s="6"/>
      <c r="DH95" s="6"/>
      <c r="DI95" s="6"/>
      <c r="DJ95" s="6"/>
      <c r="DK95" s="6"/>
      <c r="DL95" s="6"/>
      <c r="DM95" s="6"/>
      <c r="DN95" s="6"/>
      <c r="DO95" s="6"/>
      <c r="DP95" s="6"/>
      <c r="DQ95" s="6"/>
      <c r="DR95" s="6"/>
      <c r="DS95" s="6"/>
      <c r="DT95" s="6"/>
      <c r="DU95" s="6"/>
      <c r="DV95" s="6"/>
      <c r="DW95" s="6"/>
      <c r="DX95" s="6"/>
      <c r="DY95" s="6"/>
      <c r="DZ95" s="6"/>
    </row>
    <row r="96" spans="2:130" s="7" customFormat="1" x14ac:dyDescent="0.2">
      <c r="B96" s="5" t="s">
        <v>6</v>
      </c>
      <c r="C96" s="5" t="s">
        <v>27</v>
      </c>
      <c r="D96" s="8">
        <v>0</v>
      </c>
      <c r="E96" s="8">
        <v>0</v>
      </c>
      <c r="F96" s="8">
        <v>0</v>
      </c>
      <c r="G96" s="8">
        <v>0</v>
      </c>
      <c r="H96" s="8">
        <v>0</v>
      </c>
      <c r="I96" s="8">
        <v>0</v>
      </c>
      <c r="J96" s="8">
        <v>0</v>
      </c>
      <c r="K96" s="8">
        <v>0</v>
      </c>
      <c r="L96" s="8">
        <v>14</v>
      </c>
      <c r="M96" s="8">
        <v>9</v>
      </c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  <c r="CX96" s="6"/>
      <c r="CY96" s="6"/>
      <c r="CZ96" s="6"/>
      <c r="DA96" s="6"/>
      <c r="DB96" s="6"/>
      <c r="DC96" s="6"/>
      <c r="DD96" s="6"/>
      <c r="DE96" s="6"/>
      <c r="DF96" s="6"/>
      <c r="DG96" s="6"/>
      <c r="DH96" s="6"/>
      <c r="DI96" s="6"/>
      <c r="DJ96" s="6"/>
      <c r="DK96" s="6"/>
      <c r="DL96" s="6"/>
      <c r="DM96" s="6"/>
      <c r="DN96" s="6"/>
      <c r="DO96" s="6"/>
      <c r="DP96" s="6"/>
      <c r="DQ96" s="6"/>
      <c r="DR96" s="6"/>
      <c r="DS96" s="6"/>
      <c r="DT96" s="6"/>
      <c r="DU96" s="6"/>
      <c r="DV96" s="6"/>
      <c r="DW96" s="6"/>
      <c r="DX96" s="6"/>
      <c r="DY96" s="6"/>
      <c r="DZ96" s="6"/>
    </row>
    <row r="97" spans="2:130" s="7" customFormat="1" x14ac:dyDescent="0.2">
      <c r="B97" s="5" t="s">
        <v>6</v>
      </c>
      <c r="C97" s="5" t="s">
        <v>31</v>
      </c>
      <c r="D97" s="8">
        <v>0</v>
      </c>
      <c r="E97" s="8">
        <v>0</v>
      </c>
      <c r="F97" s="8">
        <v>11</v>
      </c>
      <c r="G97" s="8">
        <v>9</v>
      </c>
      <c r="H97" s="8">
        <v>0</v>
      </c>
      <c r="I97" s="8">
        <v>0</v>
      </c>
      <c r="J97" s="8">
        <v>0</v>
      </c>
      <c r="K97" s="8">
        <v>0</v>
      </c>
      <c r="L97" s="8">
        <v>10</v>
      </c>
      <c r="M97" s="8">
        <v>43</v>
      </c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  <c r="CI97" s="6"/>
      <c r="CJ97" s="6"/>
      <c r="CK97" s="6"/>
      <c r="CL97" s="6"/>
      <c r="CM97" s="6"/>
      <c r="CN97" s="6"/>
      <c r="CO97" s="6"/>
      <c r="CP97" s="6"/>
      <c r="CQ97" s="6"/>
      <c r="CR97" s="6"/>
      <c r="CS97" s="6"/>
      <c r="CT97" s="6"/>
      <c r="CU97" s="6"/>
      <c r="CV97" s="6"/>
      <c r="CW97" s="6"/>
      <c r="CX97" s="6"/>
      <c r="CY97" s="6"/>
      <c r="CZ97" s="6"/>
      <c r="DA97" s="6"/>
      <c r="DB97" s="6"/>
      <c r="DC97" s="6"/>
      <c r="DD97" s="6"/>
      <c r="DE97" s="6"/>
      <c r="DF97" s="6"/>
      <c r="DG97" s="6"/>
      <c r="DH97" s="6"/>
      <c r="DI97" s="6"/>
      <c r="DJ97" s="6"/>
      <c r="DK97" s="6"/>
      <c r="DL97" s="6"/>
      <c r="DM97" s="6"/>
      <c r="DN97" s="6"/>
      <c r="DO97" s="6"/>
      <c r="DP97" s="6"/>
      <c r="DQ97" s="6"/>
      <c r="DR97" s="6"/>
      <c r="DS97" s="6"/>
      <c r="DT97" s="6"/>
      <c r="DU97" s="6"/>
      <c r="DV97" s="6"/>
      <c r="DW97" s="6"/>
      <c r="DX97" s="6"/>
      <c r="DY97" s="6"/>
      <c r="DZ97" s="6"/>
    </row>
    <row r="98" spans="2:130" s="7" customFormat="1" x14ac:dyDescent="0.2">
      <c r="B98" s="5" t="s">
        <v>6</v>
      </c>
      <c r="C98" s="5" t="s">
        <v>27</v>
      </c>
      <c r="D98" s="8">
        <v>0</v>
      </c>
      <c r="E98" s="8">
        <v>0</v>
      </c>
      <c r="F98" s="8">
        <v>0</v>
      </c>
      <c r="G98" s="8">
        <v>0</v>
      </c>
      <c r="H98" s="8">
        <v>0</v>
      </c>
      <c r="I98" s="8">
        <v>0</v>
      </c>
      <c r="J98" s="8">
        <v>0</v>
      </c>
      <c r="K98" s="8">
        <v>0</v>
      </c>
      <c r="L98" s="8">
        <v>97</v>
      </c>
      <c r="M98" s="8">
        <v>0</v>
      </c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  <c r="CX98" s="6"/>
      <c r="CY98" s="6"/>
      <c r="CZ98" s="6"/>
      <c r="DA98" s="6"/>
      <c r="DB98" s="6"/>
      <c r="DC98" s="6"/>
      <c r="DD98" s="6"/>
      <c r="DE98" s="6"/>
      <c r="DF98" s="6"/>
      <c r="DG98" s="6"/>
      <c r="DH98" s="6"/>
      <c r="DI98" s="6"/>
      <c r="DJ98" s="6"/>
      <c r="DK98" s="6"/>
      <c r="DL98" s="6"/>
      <c r="DM98" s="6"/>
      <c r="DN98" s="6"/>
      <c r="DO98" s="6"/>
      <c r="DP98" s="6"/>
      <c r="DQ98" s="6"/>
      <c r="DR98" s="6"/>
      <c r="DS98" s="6"/>
      <c r="DT98" s="6"/>
      <c r="DU98" s="6"/>
      <c r="DV98" s="6"/>
      <c r="DW98" s="6"/>
      <c r="DX98" s="6"/>
      <c r="DY98" s="6"/>
      <c r="DZ98" s="6"/>
    </row>
  </sheetData>
  <mergeCells count="3">
    <mergeCell ref="B1:M1"/>
    <mergeCell ref="B2:M2"/>
    <mergeCell ref="B3:M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DM149"/>
  <sheetViews>
    <sheetView showGridLines="0" tabSelected="1" zoomScale="92" zoomScaleNormal="92" workbookViewId="0">
      <selection activeCell="P16" sqref="P16"/>
    </sheetView>
  </sheetViews>
  <sheetFormatPr defaultColWidth="11.42578125" defaultRowHeight="12.75" x14ac:dyDescent="0.2"/>
  <cols>
    <col min="1" max="2" width="11.42578125" style="1"/>
    <col min="3" max="3" width="10.7109375" style="1" bestFit="1" customWidth="1"/>
    <col min="4" max="13" width="12.140625" style="1" bestFit="1" customWidth="1"/>
    <col min="14" max="14" width="12.7109375" style="1" bestFit="1" customWidth="1"/>
    <col min="15" max="16384" width="11.42578125" style="1"/>
  </cols>
  <sheetData>
    <row r="2" spans="2:117" s="7" customFormat="1" x14ac:dyDescent="0.2">
      <c r="B2" s="6" t="s">
        <v>64</v>
      </c>
      <c r="C2" s="6"/>
      <c r="D2" s="6" t="s">
        <v>51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</row>
    <row r="3" spans="2:117" s="7" customFormat="1" x14ac:dyDescent="0.2">
      <c r="C3" s="6" t="s">
        <v>9</v>
      </c>
      <c r="D3" s="6" t="s">
        <v>50</v>
      </c>
      <c r="E3" s="6" t="s">
        <v>52</v>
      </c>
      <c r="F3" s="6" t="s">
        <v>53</v>
      </c>
      <c r="G3" s="6" t="s">
        <v>54</v>
      </c>
      <c r="H3" s="6" t="s">
        <v>55</v>
      </c>
      <c r="I3" s="6" t="s">
        <v>56</v>
      </c>
      <c r="J3" s="6" t="s">
        <v>57</v>
      </c>
      <c r="K3" s="6" t="s">
        <v>58</v>
      </c>
      <c r="L3" s="6" t="s">
        <v>59</v>
      </c>
      <c r="M3" s="6" t="s">
        <v>60</v>
      </c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</row>
    <row r="4" spans="2:117" s="7" customFormat="1" x14ac:dyDescent="0.2">
      <c r="C4" s="6">
        <v>1</v>
      </c>
      <c r="D4" s="9">
        <v>805.04899999999998</v>
      </c>
      <c r="E4" s="9">
        <v>1013.654</v>
      </c>
      <c r="F4" s="9">
        <v>1114.1220000000001</v>
      </c>
      <c r="G4" s="9">
        <v>1200.6220000000001</v>
      </c>
      <c r="H4" s="9">
        <v>1171.7950000000001</v>
      </c>
      <c r="I4" s="9">
        <v>1099.653</v>
      </c>
      <c r="J4" s="9">
        <v>1151.125</v>
      </c>
      <c r="K4" s="9">
        <v>1196.7760000000001</v>
      </c>
      <c r="L4" s="9">
        <v>1343.8530000000001</v>
      </c>
      <c r="M4" s="9">
        <v>1562.597</v>
      </c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</row>
    <row r="5" spans="2:117" s="7" customFormat="1" x14ac:dyDescent="0.2">
      <c r="C5" s="6">
        <v>2</v>
      </c>
      <c r="D5" s="9">
        <v>1792.87</v>
      </c>
      <c r="E5" s="9">
        <v>2039.444</v>
      </c>
      <c r="F5" s="9">
        <v>2636.1390000000001</v>
      </c>
      <c r="G5" s="9">
        <v>3289.672</v>
      </c>
      <c r="H5" s="9">
        <v>3431.424</v>
      </c>
      <c r="I5" s="9">
        <v>3331.14</v>
      </c>
      <c r="J5" s="9">
        <v>3308.0479999999998</v>
      </c>
      <c r="K5" s="9">
        <v>3324.7689999999998</v>
      </c>
      <c r="L5" s="9">
        <v>3980.6480000000001</v>
      </c>
      <c r="M5" s="9">
        <v>4396.6719999999996</v>
      </c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</row>
    <row r="6" spans="2:117" s="7" customFormat="1" x14ac:dyDescent="0.2">
      <c r="C6" s="6">
        <v>3</v>
      </c>
      <c r="D6" s="9">
        <v>282.30500000000001</v>
      </c>
      <c r="E6" s="9">
        <v>413.65100000000001</v>
      </c>
      <c r="F6" s="9">
        <v>529.06200000000001</v>
      </c>
      <c r="G6" s="9">
        <v>605.89800000000002</v>
      </c>
      <c r="H6" s="9">
        <v>551.95899999999995</v>
      </c>
      <c r="I6" s="9">
        <v>439.61</v>
      </c>
      <c r="J6" s="9">
        <v>484.41199999999998</v>
      </c>
      <c r="K6" s="9">
        <v>525.14499999999998</v>
      </c>
      <c r="L6" s="9">
        <v>581.59299999999996</v>
      </c>
      <c r="M6" s="9">
        <v>626.20500000000004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</row>
    <row r="7" spans="2:117" s="7" customFormat="1" x14ac:dyDescent="0.2">
      <c r="C7" s="6">
        <v>4</v>
      </c>
      <c r="D7" s="9">
        <v>377.67099999999999</v>
      </c>
      <c r="E7" s="9">
        <v>507.58199999999999</v>
      </c>
      <c r="F7" s="9">
        <v>606.51099999999997</v>
      </c>
      <c r="G7" s="9">
        <v>662.99900000000002</v>
      </c>
      <c r="H7" s="9">
        <v>724.87400000000002</v>
      </c>
      <c r="I7" s="9">
        <v>758.07799999999997</v>
      </c>
      <c r="J7" s="9">
        <v>775.33399999999995</v>
      </c>
      <c r="K7" s="9">
        <v>810.25199999999995</v>
      </c>
      <c r="L7" s="9">
        <v>1056.0329999999999</v>
      </c>
      <c r="M7" s="9">
        <v>1254.578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</row>
    <row r="8" spans="2:117" s="7" customFormat="1" x14ac:dyDescent="0.2">
      <c r="C8" s="6">
        <v>5</v>
      </c>
      <c r="D8" s="9">
        <v>121.119</v>
      </c>
      <c r="E8" s="9">
        <v>118.78100000000001</v>
      </c>
      <c r="F8" s="9">
        <v>135.18299999999999</v>
      </c>
      <c r="G8" s="9">
        <v>152.59299999999999</v>
      </c>
      <c r="H8" s="9">
        <v>163.67500000000001</v>
      </c>
      <c r="I8" s="9">
        <v>189.15100000000001</v>
      </c>
      <c r="J8" s="9">
        <v>215.55699999999999</v>
      </c>
      <c r="K8" s="9">
        <v>237.94</v>
      </c>
      <c r="L8" s="9">
        <v>256.351</v>
      </c>
      <c r="M8" s="9">
        <v>302.58</v>
      </c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</row>
    <row r="9" spans="2:117" s="7" customFormat="1" x14ac:dyDescent="0.2">
      <c r="C9" s="6">
        <v>8</v>
      </c>
      <c r="D9" s="9">
        <v>671.19299999999998</v>
      </c>
      <c r="E9" s="9">
        <v>769.08699999999999</v>
      </c>
      <c r="F9" s="9">
        <v>856.00199999999995</v>
      </c>
      <c r="G9" s="9">
        <v>937.64400000000001</v>
      </c>
      <c r="H9" s="9">
        <v>964.87</v>
      </c>
      <c r="I9" s="9">
        <v>908.221</v>
      </c>
      <c r="J9" s="9">
        <v>965.13</v>
      </c>
      <c r="K9" s="9">
        <v>1119.9770000000001</v>
      </c>
      <c r="L9" s="9">
        <v>1447.107</v>
      </c>
      <c r="M9" s="9">
        <v>1663.9490000000001</v>
      </c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</row>
    <row r="10" spans="2:117" s="7" customFormat="1" x14ac:dyDescent="0.2">
      <c r="C10" s="6">
        <v>9</v>
      </c>
      <c r="D10" s="9">
        <v>338.29899999999998</v>
      </c>
      <c r="E10" s="9">
        <v>381.93799999999999</v>
      </c>
      <c r="F10" s="9">
        <v>434.77300000000002</v>
      </c>
      <c r="G10" s="9">
        <v>466.68700000000001</v>
      </c>
      <c r="H10" s="9">
        <v>504.14699999999999</v>
      </c>
      <c r="I10" s="9">
        <v>575.21299999999997</v>
      </c>
      <c r="J10" s="9">
        <v>674.596</v>
      </c>
      <c r="K10" s="9">
        <v>753.529</v>
      </c>
      <c r="L10" s="9">
        <v>919.81500000000005</v>
      </c>
      <c r="M10" s="9">
        <v>1028.3399999999999</v>
      </c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</row>
    <row r="11" spans="2:117" s="7" customFormat="1" x14ac:dyDescent="0.2">
      <c r="C11" s="6">
        <v>10</v>
      </c>
      <c r="D11" s="9">
        <v>921.55700000000002</v>
      </c>
      <c r="E11" s="9">
        <v>1035.9639999999999</v>
      </c>
      <c r="F11" s="9">
        <v>1231.8679999999999</v>
      </c>
      <c r="G11" s="9">
        <v>1371.961</v>
      </c>
      <c r="H11" s="9">
        <v>1418.069</v>
      </c>
      <c r="I11" s="9">
        <v>1420.2819999999999</v>
      </c>
      <c r="J11" s="9">
        <v>1601.89</v>
      </c>
      <c r="K11" s="9">
        <v>1735.9169999999999</v>
      </c>
      <c r="L11" s="9">
        <v>1990.2950000000001</v>
      </c>
      <c r="M11" s="9">
        <v>2165.3789999999999</v>
      </c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</row>
    <row r="12" spans="2:117" s="7" customFormat="1" x14ac:dyDescent="0.2">
      <c r="C12" s="6">
        <v>11</v>
      </c>
      <c r="D12" s="9">
        <v>292.03699999999998</v>
      </c>
      <c r="E12" s="9">
        <v>333.80399999999997</v>
      </c>
      <c r="F12" s="9">
        <v>355.20299999999997</v>
      </c>
      <c r="G12" s="9">
        <v>406.15600000000001</v>
      </c>
      <c r="H12" s="9">
        <v>430.32</v>
      </c>
      <c r="I12" s="9">
        <v>443.85</v>
      </c>
      <c r="J12" s="9">
        <v>515.36699999999996</v>
      </c>
      <c r="K12" s="9">
        <v>548.91800000000001</v>
      </c>
      <c r="L12" s="9">
        <v>608.10299999999995</v>
      </c>
      <c r="M12" s="9">
        <v>681.56500000000005</v>
      </c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</row>
    <row r="13" spans="2:117" s="7" customFormat="1" x14ac:dyDescent="0.2">
      <c r="C13" s="6">
        <v>12</v>
      </c>
      <c r="D13" s="9">
        <v>586.12199999999996</v>
      </c>
      <c r="E13" s="9">
        <v>642.846</v>
      </c>
      <c r="F13" s="9">
        <v>708.94200000000001</v>
      </c>
      <c r="G13" s="9">
        <v>776.66499999999996</v>
      </c>
      <c r="H13" s="9">
        <v>810.31500000000005</v>
      </c>
      <c r="I13" s="9">
        <v>860.22</v>
      </c>
      <c r="J13" s="9">
        <v>1041.6400000000001</v>
      </c>
      <c r="K13" s="9">
        <v>1142.6030000000001</v>
      </c>
      <c r="L13" s="9">
        <v>1331.826</v>
      </c>
      <c r="M13" s="9">
        <v>1406.04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</row>
    <row r="14" spans="2:117" s="7" customFormat="1" x14ac:dyDescent="0.2">
      <c r="C14" s="6">
        <v>13</v>
      </c>
      <c r="D14" s="9">
        <v>5301.4080000000004</v>
      </c>
      <c r="E14" s="9">
        <v>6232.1130000000003</v>
      </c>
      <c r="F14" s="9">
        <v>7428.5870000000004</v>
      </c>
      <c r="G14" s="9">
        <v>8405.4230000000007</v>
      </c>
      <c r="H14" s="9">
        <v>8723.4760000000006</v>
      </c>
      <c r="I14" s="9">
        <v>9058.2669999999998</v>
      </c>
      <c r="J14" s="9">
        <v>10090.072</v>
      </c>
      <c r="K14" s="9">
        <v>10834.849</v>
      </c>
      <c r="L14" s="9">
        <v>12345.914000000001</v>
      </c>
      <c r="M14" s="9">
        <v>13630.251</v>
      </c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</row>
    <row r="15" spans="2:117" s="7" customFormat="1" x14ac:dyDescent="0.2">
      <c r="C15" s="6">
        <v>14</v>
      </c>
      <c r="D15" s="9">
        <v>104.852</v>
      </c>
      <c r="E15" s="9">
        <v>123.346</v>
      </c>
      <c r="F15" s="9">
        <v>152.053</v>
      </c>
      <c r="G15" s="9">
        <v>120.504</v>
      </c>
      <c r="H15" s="9">
        <v>152.62</v>
      </c>
      <c r="I15" s="9">
        <v>126.592</v>
      </c>
      <c r="J15" s="9">
        <v>146.267</v>
      </c>
      <c r="K15" s="9">
        <v>200.27500000000001</v>
      </c>
      <c r="L15" s="9">
        <v>238.779</v>
      </c>
      <c r="M15" s="9">
        <v>343.654</v>
      </c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</row>
    <row r="16" spans="2:117" s="7" customFormat="1" x14ac:dyDescent="0.2">
      <c r="C16" s="6">
        <v>15</v>
      </c>
      <c r="D16" s="9">
        <v>354.97800000000001</v>
      </c>
      <c r="E16" s="9">
        <v>437.76600000000002</v>
      </c>
      <c r="F16" s="9">
        <v>481.23700000000002</v>
      </c>
      <c r="G16" s="9">
        <v>549.58000000000004</v>
      </c>
      <c r="H16" s="9">
        <v>579.63599999999997</v>
      </c>
      <c r="I16" s="9">
        <v>585.95100000000002</v>
      </c>
      <c r="J16" s="9">
        <v>702.47799999999995</v>
      </c>
      <c r="K16" s="9">
        <v>764.29399999999998</v>
      </c>
      <c r="L16" s="9">
        <v>821.19899999999996</v>
      </c>
      <c r="M16" s="9">
        <v>909.2</v>
      </c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</row>
    <row r="17" spans="2:117" s="7" customFormat="1" x14ac:dyDescent="0.2">
      <c r="C17" s="6" t="s">
        <v>49</v>
      </c>
      <c r="D17" s="9">
        <v>11949460</v>
      </c>
      <c r="E17" s="9">
        <v>14049976</v>
      </c>
      <c r="F17" s="9">
        <v>16669682</v>
      </c>
      <c r="G17" s="9">
        <v>18946404</v>
      </c>
      <c r="H17" s="9">
        <v>19627180</v>
      </c>
      <c r="I17" s="9">
        <v>19796228</v>
      </c>
      <c r="J17" s="9">
        <v>21671916</v>
      </c>
      <c r="K17" s="9">
        <v>23195244</v>
      </c>
      <c r="L17" s="9">
        <v>26921516</v>
      </c>
      <c r="M17" s="9">
        <v>29971010</v>
      </c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</row>
    <row r="18" spans="2:117" s="7" customFormat="1" x14ac:dyDescent="0.2"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</row>
    <row r="19" spans="2:117" s="7" customFormat="1" x14ac:dyDescent="0.2">
      <c r="B19" s="6" t="s">
        <v>65</v>
      </c>
      <c r="C19" s="10" t="s">
        <v>62</v>
      </c>
      <c r="D19" s="10" t="s">
        <v>61</v>
      </c>
      <c r="E19" s="10" t="s">
        <v>63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</row>
    <row r="20" spans="2:117" s="7" customFormat="1" x14ac:dyDescent="0.2">
      <c r="C20" s="6">
        <v>1</v>
      </c>
      <c r="D20" s="7">
        <v>2010</v>
      </c>
      <c r="E20" s="6">
        <v>805.04899999999998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</row>
    <row r="21" spans="2:117" s="7" customFormat="1" x14ac:dyDescent="0.2">
      <c r="C21" s="6">
        <v>2</v>
      </c>
      <c r="D21" s="7">
        <f>+D20</f>
        <v>2010</v>
      </c>
      <c r="E21" s="6">
        <v>1792.87</v>
      </c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</row>
    <row r="22" spans="2:117" s="7" customFormat="1" x14ac:dyDescent="0.2">
      <c r="C22" s="6">
        <v>3</v>
      </c>
      <c r="D22" s="7">
        <f t="shared" ref="D22:D32" si="0">+D21</f>
        <v>2010</v>
      </c>
      <c r="E22" s="6">
        <v>282.30500000000001</v>
      </c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</row>
    <row r="23" spans="2:117" s="7" customFormat="1" x14ac:dyDescent="0.2">
      <c r="C23" s="6">
        <v>4</v>
      </c>
      <c r="D23" s="7">
        <f t="shared" si="0"/>
        <v>2010</v>
      </c>
      <c r="E23" s="6">
        <v>377.67099999999999</v>
      </c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</row>
    <row r="24" spans="2:117" s="7" customFormat="1" x14ac:dyDescent="0.2">
      <c r="C24" s="6">
        <v>5</v>
      </c>
      <c r="D24" s="7">
        <f t="shared" si="0"/>
        <v>2010</v>
      </c>
      <c r="E24" s="6">
        <v>121.119</v>
      </c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</row>
    <row r="25" spans="2:117" s="7" customFormat="1" x14ac:dyDescent="0.2">
      <c r="C25" s="6">
        <v>8</v>
      </c>
      <c r="D25" s="7">
        <f t="shared" si="0"/>
        <v>2010</v>
      </c>
      <c r="E25" s="6">
        <v>671.19299999999998</v>
      </c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</row>
    <row r="26" spans="2:117" s="7" customFormat="1" x14ac:dyDescent="0.2">
      <c r="C26" s="6">
        <v>9</v>
      </c>
      <c r="D26" s="7">
        <f t="shared" si="0"/>
        <v>2010</v>
      </c>
      <c r="E26" s="6">
        <v>338.29899999999998</v>
      </c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</row>
    <row r="27" spans="2:117" s="7" customFormat="1" x14ac:dyDescent="0.2">
      <c r="C27" s="6">
        <v>10</v>
      </c>
      <c r="D27" s="7">
        <f t="shared" si="0"/>
        <v>2010</v>
      </c>
      <c r="E27" s="6">
        <v>921.55700000000002</v>
      </c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</row>
    <row r="28" spans="2:117" s="7" customFormat="1" x14ac:dyDescent="0.2">
      <c r="C28" s="6">
        <v>11</v>
      </c>
      <c r="D28" s="7">
        <f t="shared" si="0"/>
        <v>2010</v>
      </c>
      <c r="E28" s="6">
        <v>292.03699999999998</v>
      </c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</row>
    <row r="29" spans="2:117" s="7" customFormat="1" x14ac:dyDescent="0.2">
      <c r="C29" s="6">
        <v>12</v>
      </c>
      <c r="D29" s="7">
        <f t="shared" si="0"/>
        <v>2010</v>
      </c>
      <c r="E29" s="6">
        <v>586.12199999999996</v>
      </c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</row>
    <row r="30" spans="2:117" s="7" customFormat="1" x14ac:dyDescent="0.2">
      <c r="C30" s="6">
        <v>13</v>
      </c>
      <c r="D30" s="7">
        <f t="shared" si="0"/>
        <v>2010</v>
      </c>
      <c r="E30" s="6">
        <v>5301.4080000000004</v>
      </c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</row>
    <row r="31" spans="2:117" s="7" customFormat="1" x14ac:dyDescent="0.2">
      <c r="C31" s="6">
        <v>14</v>
      </c>
      <c r="D31" s="7">
        <f t="shared" si="0"/>
        <v>2010</v>
      </c>
      <c r="E31" s="6">
        <v>104.852</v>
      </c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</row>
    <row r="32" spans="2:117" s="7" customFormat="1" x14ac:dyDescent="0.2">
      <c r="C32" s="6">
        <v>15</v>
      </c>
      <c r="D32" s="7">
        <f t="shared" si="0"/>
        <v>2010</v>
      </c>
      <c r="E32" s="6">
        <v>354.97800000000001</v>
      </c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</row>
    <row r="33" spans="3:117" s="7" customFormat="1" x14ac:dyDescent="0.2">
      <c r="C33" s="7">
        <f>+C20</f>
        <v>1</v>
      </c>
      <c r="D33" s="7">
        <f>+D20+1</f>
        <v>2011</v>
      </c>
      <c r="E33" s="6">
        <v>1013.654</v>
      </c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</row>
    <row r="34" spans="3:117" s="7" customFormat="1" x14ac:dyDescent="0.2">
      <c r="C34" s="7">
        <f t="shared" ref="C34:C97" si="1">+C21</f>
        <v>2</v>
      </c>
      <c r="D34" s="7">
        <f t="shared" ref="D34:D97" si="2">+D21+1</f>
        <v>2011</v>
      </c>
      <c r="E34" s="6">
        <v>2039.444</v>
      </c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</row>
    <row r="35" spans="3:117" s="7" customFormat="1" x14ac:dyDescent="0.2">
      <c r="C35" s="7">
        <f t="shared" si="1"/>
        <v>3</v>
      </c>
      <c r="D35" s="7">
        <f t="shared" si="2"/>
        <v>2011</v>
      </c>
      <c r="E35" s="6">
        <v>413.65100000000001</v>
      </c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</row>
    <row r="36" spans="3:117" s="7" customFormat="1" x14ac:dyDescent="0.2">
      <c r="C36" s="7">
        <f t="shared" si="1"/>
        <v>4</v>
      </c>
      <c r="D36" s="7">
        <f t="shared" si="2"/>
        <v>2011</v>
      </c>
      <c r="E36" s="6">
        <v>507.58199999999999</v>
      </c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</row>
    <row r="37" spans="3:117" s="7" customFormat="1" x14ac:dyDescent="0.2">
      <c r="C37" s="7">
        <f t="shared" si="1"/>
        <v>5</v>
      </c>
      <c r="D37" s="7">
        <f t="shared" si="2"/>
        <v>2011</v>
      </c>
      <c r="E37" s="6">
        <v>118.78100000000001</v>
      </c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</row>
    <row r="38" spans="3:117" s="7" customFormat="1" x14ac:dyDescent="0.2">
      <c r="C38" s="7">
        <f t="shared" si="1"/>
        <v>8</v>
      </c>
      <c r="D38" s="7">
        <f t="shared" si="2"/>
        <v>2011</v>
      </c>
      <c r="E38" s="6">
        <v>769.08699999999999</v>
      </c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</row>
    <row r="39" spans="3:117" s="7" customFormat="1" x14ac:dyDescent="0.2">
      <c r="C39" s="7">
        <f t="shared" si="1"/>
        <v>9</v>
      </c>
      <c r="D39" s="7">
        <f t="shared" si="2"/>
        <v>2011</v>
      </c>
      <c r="E39" s="6">
        <v>381.93799999999999</v>
      </c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</row>
    <row r="40" spans="3:117" s="7" customFormat="1" x14ac:dyDescent="0.2">
      <c r="C40" s="7">
        <f t="shared" si="1"/>
        <v>10</v>
      </c>
      <c r="D40" s="7">
        <f t="shared" si="2"/>
        <v>2011</v>
      </c>
      <c r="E40" s="6">
        <v>1035.9639999999999</v>
      </c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</row>
    <row r="41" spans="3:117" s="7" customFormat="1" x14ac:dyDescent="0.2">
      <c r="C41" s="7">
        <f t="shared" si="1"/>
        <v>11</v>
      </c>
      <c r="D41" s="7">
        <f t="shared" si="2"/>
        <v>2011</v>
      </c>
      <c r="E41" s="6">
        <v>333.80399999999997</v>
      </c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</row>
    <row r="42" spans="3:117" s="7" customFormat="1" x14ac:dyDescent="0.2">
      <c r="C42" s="7">
        <f t="shared" si="1"/>
        <v>12</v>
      </c>
      <c r="D42" s="7">
        <f t="shared" si="2"/>
        <v>2011</v>
      </c>
      <c r="E42" s="6">
        <v>642.846</v>
      </c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</row>
    <row r="43" spans="3:117" s="7" customFormat="1" x14ac:dyDescent="0.2">
      <c r="C43" s="7">
        <f t="shared" si="1"/>
        <v>13</v>
      </c>
      <c r="D43" s="7">
        <f t="shared" si="2"/>
        <v>2011</v>
      </c>
      <c r="E43" s="6">
        <v>6232.1130000000003</v>
      </c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</row>
    <row r="44" spans="3:117" s="7" customFormat="1" x14ac:dyDescent="0.2">
      <c r="C44" s="7">
        <f t="shared" si="1"/>
        <v>14</v>
      </c>
      <c r="D44" s="7">
        <f t="shared" si="2"/>
        <v>2011</v>
      </c>
      <c r="E44" s="6">
        <v>123.346</v>
      </c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</row>
    <row r="45" spans="3:117" s="7" customFormat="1" x14ac:dyDescent="0.2">
      <c r="C45" s="7">
        <f t="shared" si="1"/>
        <v>15</v>
      </c>
      <c r="D45" s="7">
        <f t="shared" si="2"/>
        <v>2011</v>
      </c>
      <c r="E45" s="6">
        <v>437.76600000000002</v>
      </c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</row>
    <row r="46" spans="3:117" s="7" customFormat="1" x14ac:dyDescent="0.2">
      <c r="C46" s="7">
        <f t="shared" si="1"/>
        <v>1</v>
      </c>
      <c r="D46" s="7">
        <f t="shared" si="2"/>
        <v>2012</v>
      </c>
      <c r="E46" s="6">
        <v>1114.1220000000001</v>
      </c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</row>
    <row r="47" spans="3:117" s="7" customFormat="1" x14ac:dyDescent="0.2">
      <c r="C47" s="7">
        <f t="shared" si="1"/>
        <v>2</v>
      </c>
      <c r="D47" s="7">
        <f t="shared" si="2"/>
        <v>2012</v>
      </c>
      <c r="E47" s="6">
        <v>2636.1390000000001</v>
      </c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</row>
    <row r="48" spans="3:117" s="7" customFormat="1" x14ac:dyDescent="0.2">
      <c r="C48" s="7">
        <f t="shared" si="1"/>
        <v>3</v>
      </c>
      <c r="D48" s="7">
        <f t="shared" si="2"/>
        <v>2012</v>
      </c>
      <c r="E48" s="6">
        <v>529.06200000000001</v>
      </c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</row>
    <row r="49" spans="3:117" s="7" customFormat="1" x14ac:dyDescent="0.2">
      <c r="C49" s="7">
        <f t="shared" si="1"/>
        <v>4</v>
      </c>
      <c r="D49" s="7">
        <f t="shared" si="2"/>
        <v>2012</v>
      </c>
      <c r="E49" s="6">
        <v>606.51099999999997</v>
      </c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</row>
    <row r="50" spans="3:117" s="7" customFormat="1" x14ac:dyDescent="0.2">
      <c r="C50" s="7">
        <f t="shared" si="1"/>
        <v>5</v>
      </c>
      <c r="D50" s="7">
        <f t="shared" si="2"/>
        <v>2012</v>
      </c>
      <c r="E50" s="6">
        <v>135.18299999999999</v>
      </c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</row>
    <row r="51" spans="3:117" s="7" customFormat="1" x14ac:dyDescent="0.2">
      <c r="C51" s="7">
        <f t="shared" si="1"/>
        <v>8</v>
      </c>
      <c r="D51" s="7">
        <f t="shared" si="2"/>
        <v>2012</v>
      </c>
      <c r="E51" s="6">
        <v>856.00199999999995</v>
      </c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</row>
    <row r="52" spans="3:117" s="7" customFormat="1" x14ac:dyDescent="0.2">
      <c r="C52" s="7">
        <f t="shared" si="1"/>
        <v>9</v>
      </c>
      <c r="D52" s="7">
        <f t="shared" si="2"/>
        <v>2012</v>
      </c>
      <c r="E52" s="6">
        <v>434.77300000000002</v>
      </c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</row>
    <row r="53" spans="3:117" s="7" customFormat="1" x14ac:dyDescent="0.2">
      <c r="C53" s="7">
        <f t="shared" si="1"/>
        <v>10</v>
      </c>
      <c r="D53" s="7">
        <f t="shared" si="2"/>
        <v>2012</v>
      </c>
      <c r="E53" s="6">
        <v>1231.8679999999999</v>
      </c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</row>
    <row r="54" spans="3:117" s="7" customFormat="1" x14ac:dyDescent="0.2">
      <c r="C54" s="7">
        <f t="shared" si="1"/>
        <v>11</v>
      </c>
      <c r="D54" s="7">
        <f t="shared" si="2"/>
        <v>2012</v>
      </c>
      <c r="E54" s="6">
        <v>355.20299999999997</v>
      </c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</row>
    <row r="55" spans="3:117" s="7" customFormat="1" x14ac:dyDescent="0.2">
      <c r="C55" s="7">
        <f t="shared" si="1"/>
        <v>12</v>
      </c>
      <c r="D55" s="7">
        <f t="shared" si="2"/>
        <v>2012</v>
      </c>
      <c r="E55" s="6">
        <v>708.94200000000001</v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</row>
    <row r="56" spans="3:117" s="7" customFormat="1" x14ac:dyDescent="0.2">
      <c r="C56" s="7">
        <f t="shared" si="1"/>
        <v>13</v>
      </c>
      <c r="D56" s="7">
        <f t="shared" si="2"/>
        <v>2012</v>
      </c>
      <c r="E56" s="6">
        <v>7428.5870000000004</v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</row>
    <row r="57" spans="3:117" s="7" customFormat="1" x14ac:dyDescent="0.2">
      <c r="C57" s="7">
        <f t="shared" si="1"/>
        <v>14</v>
      </c>
      <c r="D57" s="7">
        <f t="shared" si="2"/>
        <v>2012</v>
      </c>
      <c r="E57" s="6">
        <v>152.053</v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</row>
    <row r="58" spans="3:117" s="7" customFormat="1" x14ac:dyDescent="0.2">
      <c r="C58" s="7">
        <f t="shared" si="1"/>
        <v>15</v>
      </c>
      <c r="D58" s="7">
        <f t="shared" si="2"/>
        <v>2012</v>
      </c>
      <c r="E58" s="6">
        <v>481.23700000000002</v>
      </c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</row>
    <row r="59" spans="3:117" s="7" customFormat="1" x14ac:dyDescent="0.2">
      <c r="C59" s="7">
        <f t="shared" si="1"/>
        <v>1</v>
      </c>
      <c r="D59" s="7">
        <f t="shared" si="2"/>
        <v>2013</v>
      </c>
      <c r="E59" s="6">
        <v>1200.6220000000001</v>
      </c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</row>
    <row r="60" spans="3:117" s="7" customFormat="1" x14ac:dyDescent="0.2">
      <c r="C60" s="7">
        <f t="shared" si="1"/>
        <v>2</v>
      </c>
      <c r="D60" s="7">
        <f t="shared" si="2"/>
        <v>2013</v>
      </c>
      <c r="E60" s="6">
        <v>3289.672</v>
      </c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</row>
    <row r="61" spans="3:117" s="7" customFormat="1" x14ac:dyDescent="0.2">
      <c r="C61" s="7">
        <f t="shared" si="1"/>
        <v>3</v>
      </c>
      <c r="D61" s="7">
        <f t="shared" si="2"/>
        <v>2013</v>
      </c>
      <c r="E61" s="6">
        <v>605.89800000000002</v>
      </c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</row>
    <row r="62" spans="3:117" s="7" customFormat="1" x14ac:dyDescent="0.2">
      <c r="C62" s="7">
        <f t="shared" si="1"/>
        <v>4</v>
      </c>
      <c r="D62" s="7">
        <f t="shared" si="2"/>
        <v>2013</v>
      </c>
      <c r="E62" s="6">
        <v>662.99900000000002</v>
      </c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</row>
    <row r="63" spans="3:117" s="7" customFormat="1" x14ac:dyDescent="0.2">
      <c r="C63" s="7">
        <f t="shared" si="1"/>
        <v>5</v>
      </c>
      <c r="D63" s="7">
        <f t="shared" si="2"/>
        <v>2013</v>
      </c>
      <c r="E63" s="6">
        <v>152.59299999999999</v>
      </c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</row>
    <row r="64" spans="3:117" s="7" customFormat="1" x14ac:dyDescent="0.2">
      <c r="C64" s="7">
        <f t="shared" si="1"/>
        <v>8</v>
      </c>
      <c r="D64" s="7">
        <f t="shared" si="2"/>
        <v>2013</v>
      </c>
      <c r="E64" s="6">
        <v>937.64400000000001</v>
      </c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</row>
    <row r="65" spans="3:117" s="7" customFormat="1" x14ac:dyDescent="0.2">
      <c r="C65" s="7">
        <f t="shared" si="1"/>
        <v>9</v>
      </c>
      <c r="D65" s="7">
        <f t="shared" si="2"/>
        <v>2013</v>
      </c>
      <c r="E65" s="6">
        <v>466.68700000000001</v>
      </c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</row>
    <row r="66" spans="3:117" s="7" customFormat="1" x14ac:dyDescent="0.2">
      <c r="C66" s="7">
        <f t="shared" si="1"/>
        <v>10</v>
      </c>
      <c r="D66" s="7">
        <f t="shared" si="2"/>
        <v>2013</v>
      </c>
      <c r="E66" s="6">
        <v>1371.961</v>
      </c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</row>
    <row r="67" spans="3:117" s="7" customFormat="1" x14ac:dyDescent="0.2">
      <c r="C67" s="7">
        <f t="shared" si="1"/>
        <v>11</v>
      </c>
      <c r="D67" s="7">
        <f t="shared" si="2"/>
        <v>2013</v>
      </c>
      <c r="E67" s="6">
        <v>406.15600000000001</v>
      </c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</row>
    <row r="68" spans="3:117" s="7" customFormat="1" x14ac:dyDescent="0.2">
      <c r="C68" s="7">
        <f t="shared" si="1"/>
        <v>12</v>
      </c>
      <c r="D68" s="7">
        <f t="shared" si="2"/>
        <v>2013</v>
      </c>
      <c r="E68" s="6">
        <v>776.66499999999996</v>
      </c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6"/>
      <c r="CW68" s="6"/>
      <c r="CX68" s="6"/>
      <c r="CY68" s="6"/>
      <c r="CZ68" s="6"/>
      <c r="DA68" s="6"/>
      <c r="DB68" s="6"/>
      <c r="DC68" s="6"/>
      <c r="DD68" s="6"/>
      <c r="DE68" s="6"/>
      <c r="DF68" s="6"/>
      <c r="DG68" s="6"/>
      <c r="DH68" s="6"/>
      <c r="DI68" s="6"/>
      <c r="DJ68" s="6"/>
      <c r="DK68" s="6"/>
      <c r="DL68" s="6"/>
      <c r="DM68" s="6"/>
    </row>
    <row r="69" spans="3:117" s="7" customFormat="1" x14ac:dyDescent="0.2">
      <c r="C69" s="7">
        <f t="shared" si="1"/>
        <v>13</v>
      </c>
      <c r="D69" s="7">
        <f t="shared" si="2"/>
        <v>2013</v>
      </c>
      <c r="E69" s="6">
        <v>8405.4230000000007</v>
      </c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6"/>
      <c r="CV69" s="6"/>
      <c r="CW69" s="6"/>
      <c r="CX69" s="6"/>
      <c r="CY69" s="6"/>
      <c r="CZ69" s="6"/>
      <c r="DA69" s="6"/>
      <c r="DB69" s="6"/>
      <c r="DC69" s="6"/>
      <c r="DD69" s="6"/>
      <c r="DE69" s="6"/>
      <c r="DF69" s="6"/>
      <c r="DG69" s="6"/>
      <c r="DH69" s="6"/>
      <c r="DI69" s="6"/>
      <c r="DJ69" s="6"/>
      <c r="DK69" s="6"/>
      <c r="DL69" s="6"/>
      <c r="DM69" s="6"/>
    </row>
    <row r="70" spans="3:117" s="7" customFormat="1" x14ac:dyDescent="0.2">
      <c r="C70" s="7">
        <f t="shared" si="1"/>
        <v>14</v>
      </c>
      <c r="D70" s="7">
        <f t="shared" si="2"/>
        <v>2013</v>
      </c>
      <c r="E70" s="6">
        <v>120.504</v>
      </c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6"/>
      <c r="CV70" s="6"/>
      <c r="CW70" s="6"/>
      <c r="CX70" s="6"/>
      <c r="CY70" s="6"/>
      <c r="CZ70" s="6"/>
      <c r="DA70" s="6"/>
      <c r="DB70" s="6"/>
      <c r="DC70" s="6"/>
      <c r="DD70" s="6"/>
      <c r="DE70" s="6"/>
      <c r="DF70" s="6"/>
      <c r="DG70" s="6"/>
      <c r="DH70" s="6"/>
      <c r="DI70" s="6"/>
      <c r="DJ70" s="6"/>
      <c r="DK70" s="6"/>
      <c r="DL70" s="6"/>
      <c r="DM70" s="6"/>
    </row>
    <row r="71" spans="3:117" s="7" customFormat="1" x14ac:dyDescent="0.2">
      <c r="C71" s="7">
        <f t="shared" si="1"/>
        <v>15</v>
      </c>
      <c r="D71" s="7">
        <f t="shared" si="2"/>
        <v>2013</v>
      </c>
      <c r="E71" s="6">
        <v>549.58000000000004</v>
      </c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6"/>
      <c r="CV71" s="6"/>
      <c r="CW71" s="6"/>
      <c r="CX71" s="6"/>
      <c r="CY71" s="6"/>
      <c r="CZ71" s="6"/>
      <c r="DA71" s="6"/>
      <c r="DB71" s="6"/>
      <c r="DC71" s="6"/>
      <c r="DD71" s="6"/>
      <c r="DE71" s="6"/>
      <c r="DF71" s="6"/>
      <c r="DG71" s="6"/>
      <c r="DH71" s="6"/>
      <c r="DI71" s="6"/>
      <c r="DJ71" s="6"/>
      <c r="DK71" s="6"/>
      <c r="DL71" s="6"/>
      <c r="DM71" s="6"/>
    </row>
    <row r="72" spans="3:117" x14ac:dyDescent="0.2">
      <c r="C72" s="7">
        <f t="shared" si="1"/>
        <v>1</v>
      </c>
      <c r="D72" s="7">
        <f t="shared" si="2"/>
        <v>2014</v>
      </c>
      <c r="E72" s="6">
        <v>1171.7950000000001</v>
      </c>
    </row>
    <row r="73" spans="3:117" x14ac:dyDescent="0.2">
      <c r="C73" s="7">
        <f t="shared" si="1"/>
        <v>2</v>
      </c>
      <c r="D73" s="7">
        <f t="shared" si="2"/>
        <v>2014</v>
      </c>
      <c r="E73" s="6">
        <v>3431.424</v>
      </c>
    </row>
    <row r="74" spans="3:117" x14ac:dyDescent="0.2">
      <c r="C74" s="7">
        <f t="shared" si="1"/>
        <v>3</v>
      </c>
      <c r="D74" s="7">
        <f t="shared" si="2"/>
        <v>2014</v>
      </c>
      <c r="E74" s="6">
        <v>551.95899999999995</v>
      </c>
    </row>
    <row r="75" spans="3:117" x14ac:dyDescent="0.2">
      <c r="C75" s="7">
        <f t="shared" si="1"/>
        <v>4</v>
      </c>
      <c r="D75" s="7">
        <f t="shared" si="2"/>
        <v>2014</v>
      </c>
      <c r="E75" s="6">
        <v>724.87400000000002</v>
      </c>
    </row>
    <row r="76" spans="3:117" x14ac:dyDescent="0.2">
      <c r="C76" s="7">
        <f t="shared" si="1"/>
        <v>5</v>
      </c>
      <c r="D76" s="7">
        <f t="shared" si="2"/>
        <v>2014</v>
      </c>
      <c r="E76" s="6">
        <v>163.67500000000001</v>
      </c>
    </row>
    <row r="77" spans="3:117" x14ac:dyDescent="0.2">
      <c r="C77" s="7">
        <f t="shared" si="1"/>
        <v>8</v>
      </c>
      <c r="D77" s="7">
        <f t="shared" si="2"/>
        <v>2014</v>
      </c>
      <c r="E77" s="6">
        <v>964.87</v>
      </c>
    </row>
    <row r="78" spans="3:117" x14ac:dyDescent="0.2">
      <c r="C78" s="7">
        <f t="shared" si="1"/>
        <v>9</v>
      </c>
      <c r="D78" s="7">
        <f t="shared" si="2"/>
        <v>2014</v>
      </c>
      <c r="E78" s="6">
        <v>504.14699999999999</v>
      </c>
    </row>
    <row r="79" spans="3:117" x14ac:dyDescent="0.2">
      <c r="C79" s="7">
        <f t="shared" si="1"/>
        <v>10</v>
      </c>
      <c r="D79" s="7">
        <f t="shared" si="2"/>
        <v>2014</v>
      </c>
      <c r="E79" s="6">
        <v>1418.069</v>
      </c>
    </row>
    <row r="80" spans="3:117" x14ac:dyDescent="0.2">
      <c r="C80" s="7">
        <f t="shared" si="1"/>
        <v>11</v>
      </c>
      <c r="D80" s="7">
        <f t="shared" si="2"/>
        <v>2014</v>
      </c>
      <c r="E80" s="6">
        <v>430.32</v>
      </c>
    </row>
    <row r="81" spans="3:5" x14ac:dyDescent="0.2">
      <c r="C81" s="7">
        <f t="shared" si="1"/>
        <v>12</v>
      </c>
      <c r="D81" s="7">
        <f t="shared" si="2"/>
        <v>2014</v>
      </c>
      <c r="E81" s="6">
        <v>810.31500000000005</v>
      </c>
    </row>
    <row r="82" spans="3:5" x14ac:dyDescent="0.2">
      <c r="C82" s="7">
        <f t="shared" si="1"/>
        <v>13</v>
      </c>
      <c r="D82" s="7">
        <f t="shared" si="2"/>
        <v>2014</v>
      </c>
      <c r="E82" s="6">
        <v>8723.4760000000006</v>
      </c>
    </row>
    <row r="83" spans="3:5" x14ac:dyDescent="0.2">
      <c r="C83" s="7">
        <f t="shared" si="1"/>
        <v>14</v>
      </c>
      <c r="D83" s="7">
        <f t="shared" si="2"/>
        <v>2014</v>
      </c>
      <c r="E83" s="6">
        <v>152.62</v>
      </c>
    </row>
    <row r="84" spans="3:5" x14ac:dyDescent="0.2">
      <c r="C84" s="7">
        <f t="shared" si="1"/>
        <v>15</v>
      </c>
      <c r="D84" s="7">
        <f t="shared" si="2"/>
        <v>2014</v>
      </c>
      <c r="E84" s="6">
        <v>579.63599999999997</v>
      </c>
    </row>
    <row r="85" spans="3:5" x14ac:dyDescent="0.2">
      <c r="C85" s="7">
        <f t="shared" si="1"/>
        <v>1</v>
      </c>
      <c r="D85" s="7">
        <f t="shared" si="2"/>
        <v>2015</v>
      </c>
      <c r="E85" s="6">
        <v>1099.653</v>
      </c>
    </row>
    <row r="86" spans="3:5" x14ac:dyDescent="0.2">
      <c r="C86" s="7">
        <f t="shared" si="1"/>
        <v>2</v>
      </c>
      <c r="D86" s="7">
        <f t="shared" si="2"/>
        <v>2015</v>
      </c>
      <c r="E86" s="6">
        <v>3331.14</v>
      </c>
    </row>
    <row r="87" spans="3:5" x14ac:dyDescent="0.2">
      <c r="C87" s="7">
        <f t="shared" si="1"/>
        <v>3</v>
      </c>
      <c r="D87" s="7">
        <f t="shared" si="2"/>
        <v>2015</v>
      </c>
      <c r="E87" s="6">
        <v>439.61</v>
      </c>
    </row>
    <row r="88" spans="3:5" x14ac:dyDescent="0.2">
      <c r="C88" s="7">
        <f t="shared" si="1"/>
        <v>4</v>
      </c>
      <c r="D88" s="7">
        <f t="shared" si="2"/>
        <v>2015</v>
      </c>
      <c r="E88" s="6">
        <v>758.07799999999997</v>
      </c>
    </row>
    <row r="89" spans="3:5" x14ac:dyDescent="0.2">
      <c r="C89" s="7">
        <f t="shared" si="1"/>
        <v>5</v>
      </c>
      <c r="D89" s="7">
        <f t="shared" si="2"/>
        <v>2015</v>
      </c>
      <c r="E89" s="6">
        <v>189.15100000000001</v>
      </c>
    </row>
    <row r="90" spans="3:5" x14ac:dyDescent="0.2">
      <c r="C90" s="7">
        <f t="shared" si="1"/>
        <v>8</v>
      </c>
      <c r="D90" s="7">
        <f t="shared" si="2"/>
        <v>2015</v>
      </c>
      <c r="E90" s="6">
        <v>908.221</v>
      </c>
    </row>
    <row r="91" spans="3:5" x14ac:dyDescent="0.2">
      <c r="C91" s="7">
        <f t="shared" si="1"/>
        <v>9</v>
      </c>
      <c r="D91" s="7">
        <f t="shared" si="2"/>
        <v>2015</v>
      </c>
      <c r="E91" s="6">
        <v>575.21299999999997</v>
      </c>
    </row>
    <row r="92" spans="3:5" x14ac:dyDescent="0.2">
      <c r="C92" s="7">
        <f t="shared" si="1"/>
        <v>10</v>
      </c>
      <c r="D92" s="7">
        <f t="shared" si="2"/>
        <v>2015</v>
      </c>
      <c r="E92" s="6">
        <v>1420.2819999999999</v>
      </c>
    </row>
    <row r="93" spans="3:5" x14ac:dyDescent="0.2">
      <c r="C93" s="7">
        <f t="shared" si="1"/>
        <v>11</v>
      </c>
      <c r="D93" s="7">
        <f t="shared" si="2"/>
        <v>2015</v>
      </c>
      <c r="E93" s="6">
        <v>443.85</v>
      </c>
    </row>
    <row r="94" spans="3:5" x14ac:dyDescent="0.2">
      <c r="C94" s="7">
        <f t="shared" si="1"/>
        <v>12</v>
      </c>
      <c r="D94" s="7">
        <f t="shared" si="2"/>
        <v>2015</v>
      </c>
      <c r="E94" s="6">
        <v>860.22</v>
      </c>
    </row>
    <row r="95" spans="3:5" x14ac:dyDescent="0.2">
      <c r="C95" s="7">
        <f t="shared" si="1"/>
        <v>13</v>
      </c>
      <c r="D95" s="7">
        <f t="shared" si="2"/>
        <v>2015</v>
      </c>
      <c r="E95" s="6">
        <v>9058.2669999999998</v>
      </c>
    </row>
    <row r="96" spans="3:5" x14ac:dyDescent="0.2">
      <c r="C96" s="7">
        <f t="shared" si="1"/>
        <v>14</v>
      </c>
      <c r="D96" s="7">
        <f t="shared" si="2"/>
        <v>2015</v>
      </c>
      <c r="E96" s="6">
        <v>126.592</v>
      </c>
    </row>
    <row r="97" spans="3:5" x14ac:dyDescent="0.2">
      <c r="C97" s="7">
        <f t="shared" si="1"/>
        <v>15</v>
      </c>
      <c r="D97" s="7">
        <f t="shared" si="2"/>
        <v>2015</v>
      </c>
      <c r="E97" s="6">
        <v>585.95100000000002</v>
      </c>
    </row>
    <row r="98" spans="3:5" x14ac:dyDescent="0.2">
      <c r="C98" s="7">
        <f t="shared" ref="C98:C149" si="3">+C85</f>
        <v>1</v>
      </c>
      <c r="D98" s="7">
        <f t="shared" ref="D98:D149" si="4">+D85+1</f>
        <v>2016</v>
      </c>
      <c r="E98" s="6">
        <v>1151.125</v>
      </c>
    </row>
    <row r="99" spans="3:5" x14ac:dyDescent="0.2">
      <c r="C99" s="7">
        <f t="shared" si="3"/>
        <v>2</v>
      </c>
      <c r="D99" s="7">
        <f t="shared" si="4"/>
        <v>2016</v>
      </c>
      <c r="E99" s="6">
        <v>3308.0479999999998</v>
      </c>
    </row>
    <row r="100" spans="3:5" x14ac:dyDescent="0.2">
      <c r="C100" s="7">
        <f t="shared" si="3"/>
        <v>3</v>
      </c>
      <c r="D100" s="7">
        <f t="shared" si="4"/>
        <v>2016</v>
      </c>
      <c r="E100" s="6">
        <v>484.41199999999998</v>
      </c>
    </row>
    <row r="101" spans="3:5" x14ac:dyDescent="0.2">
      <c r="C101" s="7">
        <f t="shared" si="3"/>
        <v>4</v>
      </c>
      <c r="D101" s="7">
        <f t="shared" si="4"/>
        <v>2016</v>
      </c>
      <c r="E101" s="6">
        <v>775.33399999999995</v>
      </c>
    </row>
    <row r="102" spans="3:5" x14ac:dyDescent="0.2">
      <c r="C102" s="7">
        <f t="shared" si="3"/>
        <v>5</v>
      </c>
      <c r="D102" s="7">
        <f t="shared" si="4"/>
        <v>2016</v>
      </c>
      <c r="E102" s="6">
        <v>215.55699999999999</v>
      </c>
    </row>
    <row r="103" spans="3:5" x14ac:dyDescent="0.2">
      <c r="C103" s="7">
        <f t="shared" si="3"/>
        <v>8</v>
      </c>
      <c r="D103" s="7">
        <f t="shared" si="4"/>
        <v>2016</v>
      </c>
      <c r="E103" s="6">
        <v>965.13</v>
      </c>
    </row>
    <row r="104" spans="3:5" x14ac:dyDescent="0.2">
      <c r="C104" s="7">
        <f t="shared" si="3"/>
        <v>9</v>
      </c>
      <c r="D104" s="7">
        <f t="shared" si="4"/>
        <v>2016</v>
      </c>
      <c r="E104" s="6">
        <v>674.596</v>
      </c>
    </row>
    <row r="105" spans="3:5" x14ac:dyDescent="0.2">
      <c r="C105" s="7">
        <f t="shared" si="3"/>
        <v>10</v>
      </c>
      <c r="D105" s="7">
        <f t="shared" si="4"/>
        <v>2016</v>
      </c>
      <c r="E105" s="6">
        <v>1601.89</v>
      </c>
    </row>
    <row r="106" spans="3:5" x14ac:dyDescent="0.2">
      <c r="C106" s="7">
        <f t="shared" si="3"/>
        <v>11</v>
      </c>
      <c r="D106" s="7">
        <f t="shared" si="4"/>
        <v>2016</v>
      </c>
      <c r="E106" s="6">
        <v>515.36699999999996</v>
      </c>
    </row>
    <row r="107" spans="3:5" x14ac:dyDescent="0.2">
      <c r="C107" s="7">
        <f t="shared" si="3"/>
        <v>12</v>
      </c>
      <c r="D107" s="7">
        <f t="shared" si="4"/>
        <v>2016</v>
      </c>
      <c r="E107" s="6">
        <v>1041.6400000000001</v>
      </c>
    </row>
    <row r="108" spans="3:5" x14ac:dyDescent="0.2">
      <c r="C108" s="7">
        <f t="shared" si="3"/>
        <v>13</v>
      </c>
      <c r="D108" s="7">
        <f t="shared" si="4"/>
        <v>2016</v>
      </c>
      <c r="E108" s="6">
        <v>10090.072</v>
      </c>
    </row>
    <row r="109" spans="3:5" x14ac:dyDescent="0.2">
      <c r="C109" s="7">
        <f t="shared" si="3"/>
        <v>14</v>
      </c>
      <c r="D109" s="7">
        <f t="shared" si="4"/>
        <v>2016</v>
      </c>
      <c r="E109" s="6">
        <v>146.267</v>
      </c>
    </row>
    <row r="110" spans="3:5" x14ac:dyDescent="0.2">
      <c r="C110" s="7">
        <f t="shared" si="3"/>
        <v>15</v>
      </c>
      <c r="D110" s="7">
        <f t="shared" si="4"/>
        <v>2016</v>
      </c>
      <c r="E110" s="6">
        <v>702.47799999999995</v>
      </c>
    </row>
    <row r="111" spans="3:5" x14ac:dyDescent="0.2">
      <c r="C111" s="7">
        <f t="shared" si="3"/>
        <v>1</v>
      </c>
      <c r="D111" s="7">
        <f t="shared" si="4"/>
        <v>2017</v>
      </c>
      <c r="E111" s="6">
        <v>1196.7760000000001</v>
      </c>
    </row>
    <row r="112" spans="3:5" x14ac:dyDescent="0.2">
      <c r="C112" s="7">
        <f t="shared" si="3"/>
        <v>2</v>
      </c>
      <c r="D112" s="7">
        <f t="shared" si="4"/>
        <v>2017</v>
      </c>
      <c r="E112" s="6">
        <v>3324.7689999999998</v>
      </c>
    </row>
    <row r="113" spans="3:5" x14ac:dyDescent="0.2">
      <c r="C113" s="7">
        <f t="shared" si="3"/>
        <v>3</v>
      </c>
      <c r="D113" s="7">
        <f t="shared" si="4"/>
        <v>2017</v>
      </c>
      <c r="E113" s="6">
        <v>525.14499999999998</v>
      </c>
    </row>
    <row r="114" spans="3:5" x14ac:dyDescent="0.2">
      <c r="C114" s="7">
        <f t="shared" si="3"/>
        <v>4</v>
      </c>
      <c r="D114" s="7">
        <f t="shared" si="4"/>
        <v>2017</v>
      </c>
      <c r="E114" s="6">
        <v>810.25199999999995</v>
      </c>
    </row>
    <row r="115" spans="3:5" x14ac:dyDescent="0.2">
      <c r="C115" s="7">
        <f t="shared" si="3"/>
        <v>5</v>
      </c>
      <c r="D115" s="7">
        <f t="shared" si="4"/>
        <v>2017</v>
      </c>
      <c r="E115" s="6">
        <v>237.94</v>
      </c>
    </row>
    <row r="116" spans="3:5" x14ac:dyDescent="0.2">
      <c r="C116" s="7">
        <f t="shared" si="3"/>
        <v>8</v>
      </c>
      <c r="D116" s="7">
        <f t="shared" si="4"/>
        <v>2017</v>
      </c>
      <c r="E116" s="6">
        <v>1119.9770000000001</v>
      </c>
    </row>
    <row r="117" spans="3:5" x14ac:dyDescent="0.2">
      <c r="C117" s="7">
        <f t="shared" si="3"/>
        <v>9</v>
      </c>
      <c r="D117" s="7">
        <f t="shared" si="4"/>
        <v>2017</v>
      </c>
      <c r="E117" s="6">
        <v>753.529</v>
      </c>
    </row>
    <row r="118" spans="3:5" x14ac:dyDescent="0.2">
      <c r="C118" s="7">
        <f t="shared" si="3"/>
        <v>10</v>
      </c>
      <c r="D118" s="7">
        <f t="shared" si="4"/>
        <v>2017</v>
      </c>
      <c r="E118" s="6">
        <v>1735.9169999999999</v>
      </c>
    </row>
    <row r="119" spans="3:5" x14ac:dyDescent="0.2">
      <c r="C119" s="7">
        <f t="shared" si="3"/>
        <v>11</v>
      </c>
      <c r="D119" s="7">
        <f t="shared" si="4"/>
        <v>2017</v>
      </c>
      <c r="E119" s="6">
        <v>548.91800000000001</v>
      </c>
    </row>
    <row r="120" spans="3:5" x14ac:dyDescent="0.2">
      <c r="C120" s="7">
        <f t="shared" si="3"/>
        <v>12</v>
      </c>
      <c r="D120" s="7">
        <f t="shared" si="4"/>
        <v>2017</v>
      </c>
      <c r="E120" s="6">
        <v>1142.6030000000001</v>
      </c>
    </row>
    <row r="121" spans="3:5" x14ac:dyDescent="0.2">
      <c r="C121" s="7">
        <f t="shared" si="3"/>
        <v>13</v>
      </c>
      <c r="D121" s="7">
        <f t="shared" si="4"/>
        <v>2017</v>
      </c>
      <c r="E121" s="6">
        <v>10834.849</v>
      </c>
    </row>
    <row r="122" spans="3:5" x14ac:dyDescent="0.2">
      <c r="C122" s="7">
        <f t="shared" si="3"/>
        <v>14</v>
      </c>
      <c r="D122" s="7">
        <f t="shared" si="4"/>
        <v>2017</v>
      </c>
      <c r="E122" s="6">
        <v>200.27500000000001</v>
      </c>
    </row>
    <row r="123" spans="3:5" x14ac:dyDescent="0.2">
      <c r="C123" s="7">
        <f t="shared" si="3"/>
        <v>15</v>
      </c>
      <c r="D123" s="7">
        <f t="shared" si="4"/>
        <v>2017</v>
      </c>
      <c r="E123" s="6">
        <v>764.29399999999998</v>
      </c>
    </row>
    <row r="124" spans="3:5" x14ac:dyDescent="0.2">
      <c r="C124" s="7">
        <f t="shared" si="3"/>
        <v>1</v>
      </c>
      <c r="D124" s="7">
        <f t="shared" si="4"/>
        <v>2018</v>
      </c>
      <c r="E124" s="6">
        <v>1343.8530000000001</v>
      </c>
    </row>
    <row r="125" spans="3:5" x14ac:dyDescent="0.2">
      <c r="C125" s="7">
        <f t="shared" si="3"/>
        <v>2</v>
      </c>
      <c r="D125" s="7">
        <f t="shared" si="4"/>
        <v>2018</v>
      </c>
      <c r="E125" s="6">
        <v>3980.6480000000001</v>
      </c>
    </row>
    <row r="126" spans="3:5" x14ac:dyDescent="0.2">
      <c r="C126" s="7">
        <f t="shared" si="3"/>
        <v>3</v>
      </c>
      <c r="D126" s="7">
        <f t="shared" si="4"/>
        <v>2018</v>
      </c>
      <c r="E126" s="6">
        <v>581.59299999999996</v>
      </c>
    </row>
    <row r="127" spans="3:5" x14ac:dyDescent="0.2">
      <c r="C127" s="7">
        <f t="shared" si="3"/>
        <v>4</v>
      </c>
      <c r="D127" s="7">
        <f t="shared" si="4"/>
        <v>2018</v>
      </c>
      <c r="E127" s="6">
        <v>1056.0329999999999</v>
      </c>
    </row>
    <row r="128" spans="3:5" x14ac:dyDescent="0.2">
      <c r="C128" s="7">
        <f t="shared" si="3"/>
        <v>5</v>
      </c>
      <c r="D128" s="7">
        <f t="shared" si="4"/>
        <v>2018</v>
      </c>
      <c r="E128" s="6">
        <v>256.351</v>
      </c>
    </row>
    <row r="129" spans="3:5" x14ac:dyDescent="0.2">
      <c r="C129" s="7">
        <f t="shared" si="3"/>
        <v>8</v>
      </c>
      <c r="D129" s="7">
        <f t="shared" si="4"/>
        <v>2018</v>
      </c>
      <c r="E129" s="6">
        <v>1447.107</v>
      </c>
    </row>
    <row r="130" spans="3:5" x14ac:dyDescent="0.2">
      <c r="C130" s="7">
        <f t="shared" si="3"/>
        <v>9</v>
      </c>
      <c r="D130" s="7">
        <f t="shared" si="4"/>
        <v>2018</v>
      </c>
      <c r="E130" s="6">
        <v>919.81500000000005</v>
      </c>
    </row>
    <row r="131" spans="3:5" x14ac:dyDescent="0.2">
      <c r="C131" s="7">
        <f t="shared" si="3"/>
        <v>10</v>
      </c>
      <c r="D131" s="7">
        <f t="shared" si="4"/>
        <v>2018</v>
      </c>
      <c r="E131" s="6">
        <v>1990.2950000000001</v>
      </c>
    </row>
    <row r="132" spans="3:5" x14ac:dyDescent="0.2">
      <c r="C132" s="7">
        <f t="shared" si="3"/>
        <v>11</v>
      </c>
      <c r="D132" s="7">
        <f t="shared" si="4"/>
        <v>2018</v>
      </c>
      <c r="E132" s="6">
        <v>608.10299999999995</v>
      </c>
    </row>
    <row r="133" spans="3:5" x14ac:dyDescent="0.2">
      <c r="C133" s="7">
        <f t="shared" si="3"/>
        <v>12</v>
      </c>
      <c r="D133" s="7">
        <f t="shared" si="4"/>
        <v>2018</v>
      </c>
      <c r="E133" s="6">
        <v>1331.826</v>
      </c>
    </row>
    <row r="134" spans="3:5" x14ac:dyDescent="0.2">
      <c r="C134" s="7">
        <f t="shared" si="3"/>
        <v>13</v>
      </c>
      <c r="D134" s="7">
        <f t="shared" si="4"/>
        <v>2018</v>
      </c>
      <c r="E134" s="6">
        <v>12345.914000000001</v>
      </c>
    </row>
    <row r="135" spans="3:5" x14ac:dyDescent="0.2">
      <c r="C135" s="7">
        <f t="shared" si="3"/>
        <v>14</v>
      </c>
      <c r="D135" s="7">
        <f t="shared" si="4"/>
        <v>2018</v>
      </c>
      <c r="E135" s="6">
        <v>238.779</v>
      </c>
    </row>
    <row r="136" spans="3:5" x14ac:dyDescent="0.2">
      <c r="C136" s="7">
        <f t="shared" si="3"/>
        <v>15</v>
      </c>
      <c r="D136" s="7">
        <f t="shared" si="4"/>
        <v>2018</v>
      </c>
      <c r="E136" s="6">
        <v>821.19899999999996</v>
      </c>
    </row>
    <row r="137" spans="3:5" x14ac:dyDescent="0.2">
      <c r="C137" s="7">
        <f t="shared" si="3"/>
        <v>1</v>
      </c>
      <c r="D137" s="7">
        <f t="shared" si="4"/>
        <v>2019</v>
      </c>
      <c r="E137" s="6">
        <v>1562.597</v>
      </c>
    </row>
    <row r="138" spans="3:5" x14ac:dyDescent="0.2">
      <c r="C138" s="7">
        <f t="shared" si="3"/>
        <v>2</v>
      </c>
      <c r="D138" s="7">
        <f t="shared" si="4"/>
        <v>2019</v>
      </c>
      <c r="E138" s="6">
        <v>4396.6719999999996</v>
      </c>
    </row>
    <row r="139" spans="3:5" x14ac:dyDescent="0.2">
      <c r="C139" s="7">
        <f t="shared" si="3"/>
        <v>3</v>
      </c>
      <c r="D139" s="7">
        <f t="shared" si="4"/>
        <v>2019</v>
      </c>
      <c r="E139" s="6">
        <v>626.20500000000004</v>
      </c>
    </row>
    <row r="140" spans="3:5" x14ac:dyDescent="0.2">
      <c r="C140" s="7">
        <f t="shared" si="3"/>
        <v>4</v>
      </c>
      <c r="D140" s="7">
        <f t="shared" si="4"/>
        <v>2019</v>
      </c>
      <c r="E140" s="6">
        <v>1254.578</v>
      </c>
    </row>
    <row r="141" spans="3:5" x14ac:dyDescent="0.2">
      <c r="C141" s="7">
        <f t="shared" si="3"/>
        <v>5</v>
      </c>
      <c r="D141" s="7">
        <f t="shared" si="4"/>
        <v>2019</v>
      </c>
      <c r="E141" s="6">
        <v>302.58</v>
      </c>
    </row>
    <row r="142" spans="3:5" x14ac:dyDescent="0.2">
      <c r="C142" s="7">
        <f t="shared" si="3"/>
        <v>8</v>
      </c>
      <c r="D142" s="7">
        <f t="shared" si="4"/>
        <v>2019</v>
      </c>
      <c r="E142" s="6">
        <v>1663.9490000000001</v>
      </c>
    </row>
    <row r="143" spans="3:5" x14ac:dyDescent="0.2">
      <c r="C143" s="7">
        <f t="shared" si="3"/>
        <v>9</v>
      </c>
      <c r="D143" s="7">
        <f t="shared" si="4"/>
        <v>2019</v>
      </c>
      <c r="E143" s="6">
        <v>1028.3399999999999</v>
      </c>
    </row>
    <row r="144" spans="3:5" x14ac:dyDescent="0.2">
      <c r="C144" s="7">
        <f t="shared" si="3"/>
        <v>10</v>
      </c>
      <c r="D144" s="7">
        <f t="shared" si="4"/>
        <v>2019</v>
      </c>
      <c r="E144" s="6">
        <v>2165.3789999999999</v>
      </c>
    </row>
    <row r="145" spans="3:5" x14ac:dyDescent="0.2">
      <c r="C145" s="7">
        <f t="shared" si="3"/>
        <v>11</v>
      </c>
      <c r="D145" s="7">
        <f t="shared" si="4"/>
        <v>2019</v>
      </c>
      <c r="E145" s="6">
        <v>681.56500000000005</v>
      </c>
    </row>
    <row r="146" spans="3:5" x14ac:dyDescent="0.2">
      <c r="C146" s="7">
        <f t="shared" si="3"/>
        <v>12</v>
      </c>
      <c r="D146" s="7">
        <f t="shared" si="4"/>
        <v>2019</v>
      </c>
      <c r="E146" s="6">
        <v>1406.04</v>
      </c>
    </row>
    <row r="147" spans="3:5" x14ac:dyDescent="0.2">
      <c r="C147" s="7">
        <f t="shared" si="3"/>
        <v>13</v>
      </c>
      <c r="D147" s="7">
        <f t="shared" si="4"/>
        <v>2019</v>
      </c>
      <c r="E147" s="6">
        <v>13630.251</v>
      </c>
    </row>
    <row r="148" spans="3:5" x14ac:dyDescent="0.2">
      <c r="C148" s="7">
        <f t="shared" si="3"/>
        <v>14</v>
      </c>
      <c r="D148" s="7">
        <f t="shared" si="4"/>
        <v>2019</v>
      </c>
      <c r="E148" s="6">
        <v>343.654</v>
      </c>
    </row>
    <row r="149" spans="3:5" x14ac:dyDescent="0.2">
      <c r="C149" s="7">
        <f t="shared" si="3"/>
        <v>15</v>
      </c>
      <c r="D149" s="7">
        <f t="shared" si="4"/>
        <v>2019</v>
      </c>
      <c r="E149" s="6">
        <v>909.2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Ciudades nacional</vt:lpstr>
      <vt:lpstr>Ciudades nacional (2)</vt:lpstr>
    </vt:vector>
  </TitlesOfParts>
  <Company>JAC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Inda</dc:creator>
  <cp:lastModifiedBy>dan</cp:lastModifiedBy>
  <dcterms:created xsi:type="dcterms:W3CDTF">2011-10-27T14:53:06Z</dcterms:created>
  <dcterms:modified xsi:type="dcterms:W3CDTF">2021-09-20T21:41:15Z</dcterms:modified>
</cp:coreProperties>
</file>